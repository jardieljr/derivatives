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mc:AlternateContent xmlns:mc="http://schemas.openxmlformats.org/markup-compatibility/2006">
    <mc:Choice Requires="x15">
      <x15ac:absPath xmlns:x15ac="http://schemas.microsoft.com/office/spreadsheetml/2010/11/ac" url="/Users/jardieljunior/Desktop/projects/derivatives/"/>
    </mc:Choice>
  </mc:AlternateContent>
  <xr:revisionPtr revIDLastSave="0" documentId="13_ncr:1_{98DE0693-7FE3-834F-8AC9-016015C1F3D7}" xr6:coauthVersionLast="47" xr6:coauthVersionMax="47" xr10:uidLastSave="{00000000-0000-0000-0000-000000000000}"/>
  <bookViews>
    <workbookView xWindow="0" yWindow="460" windowWidth="28800" windowHeight="16520" activeTab="5" xr2:uid="{00000000-000D-0000-FFFF-FFFF00000000}"/>
  </bookViews>
  <sheets>
    <sheet name="ReadMe" sheetId="1" r:id="rId1"/>
    <sheet name="Inputs" sheetId="3" r:id="rId2"/>
    <sheet name="BinomialModel" sheetId="4" r:id="rId3"/>
    <sheet name="Refresh Black&amp;Scholes " sheetId="5" state="hidden" r:id="rId4"/>
    <sheet name="Black&amp;Scholes" sheetId="6" r:id="rId5"/>
    <sheet name="Market Data" sheetId="8" r:id="rId6"/>
    <sheet name="Aux" sheetId="7" state="hidden" r:id="rId7"/>
  </sheets>
  <functionGroups builtInGroupCount="19"/>
  <definedNames>
    <definedName name="bs_option_type" localSheetId="1">Inputs!$B$4</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Exercise" localSheetId="1">Inputs!$B$6</definedName>
    <definedName name="Exercise">Inputs!$B$6</definedName>
    <definedName name="expected_return" localSheetId="1">Inputs!$B$10</definedName>
    <definedName name="expected_return">Inputs!$B$10</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Rate" localSheetId="1">Inputs!$B$7</definedName>
    <definedName name="Rate">Inputs!$B$7</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2" roundtripDataSignature="AMtx7mh+TNiBRhg6bWAAKdrwp4X/HtSt9g=="/>
    </ext>
  </extLst>
</workbook>
</file>

<file path=xl/calcChain.xml><?xml version="1.0" encoding="utf-8"?>
<calcChain xmlns="http://schemas.openxmlformats.org/spreadsheetml/2006/main">
  <c r="D43" i="8" l="1"/>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D2" i="8"/>
  <c r="A25" i="4"/>
  <c r="E6" i="4"/>
  <c r="B6" i="4"/>
  <c r="B7" i="4"/>
  <c r="E7" i="4" s="1"/>
  <c r="D5" i="6"/>
  <c r="D4" i="6"/>
  <c r="I13" i="6"/>
  <c r="I12" i="6"/>
  <c r="E4" i="7" l="1"/>
  <c r="F3" i="7"/>
  <c r="G3" i="7" s="1"/>
  <c r="D9" i="6"/>
  <c r="D8" i="6"/>
  <c r="I5" i="6"/>
  <c r="I9" i="6"/>
  <c r="I7" i="6"/>
  <c r="I10" i="6"/>
  <c r="I6" i="6"/>
  <c r="I8" i="6"/>
  <c r="I11" i="6"/>
  <c r="I4" i="6"/>
  <c r="D11" i="6" l="1"/>
  <c r="B26" i="4"/>
  <c r="C27" i="4" s="1"/>
  <c r="D28" i="4" s="1"/>
  <c r="E29" i="4" s="1"/>
  <c r="F30" i="4" s="1"/>
  <c r="G31" i="4" s="1"/>
  <c r="H32" i="4" s="1"/>
  <c r="I33" i="4" s="1"/>
  <c r="J34" i="4" s="1"/>
  <c r="K35" i="4" s="1"/>
  <c r="L36" i="4" s="1"/>
  <c r="M37" i="4" s="1"/>
  <c r="N37" i="4" s="1"/>
  <c r="B24" i="4"/>
  <c r="D6" i="6"/>
  <c r="E5" i="7"/>
  <c r="F4" i="7"/>
  <c r="G4" i="7" s="1"/>
  <c r="D7" i="6"/>
  <c r="N92" i="4" l="1"/>
  <c r="N65" i="4"/>
  <c r="D12" i="6"/>
  <c r="D16" i="6" s="1"/>
  <c r="D10" i="6"/>
  <c r="C25" i="4"/>
  <c r="D26" i="4" s="1"/>
  <c r="E27" i="4" s="1"/>
  <c r="F28" i="4" s="1"/>
  <c r="G29" i="4" s="1"/>
  <c r="H30" i="4" s="1"/>
  <c r="I31" i="4" s="1"/>
  <c r="J32" i="4" s="1"/>
  <c r="K33" i="4" s="1"/>
  <c r="L34" i="4" s="1"/>
  <c r="M35" i="4" s="1"/>
  <c r="N35" i="4" s="1"/>
  <c r="C23" i="4"/>
  <c r="D22" i="4" s="1"/>
  <c r="E6" i="7"/>
  <c r="F5" i="7"/>
  <c r="G5" i="7" s="1"/>
  <c r="N63" i="4" l="1"/>
  <c r="M64" i="4" s="1"/>
  <c r="N90" i="4"/>
  <c r="M91" i="4" s="1"/>
  <c r="D24" i="4"/>
  <c r="E25" i="4" s="1"/>
  <c r="F26" i="4" s="1"/>
  <c r="G27" i="4" s="1"/>
  <c r="H28" i="4" s="1"/>
  <c r="I29" i="4" s="1"/>
  <c r="J30" i="4" s="1"/>
  <c r="K31" i="4" s="1"/>
  <c r="L32" i="4" s="1"/>
  <c r="M33" i="4" s="1"/>
  <c r="F6" i="7"/>
  <c r="G6" i="7" s="1"/>
  <c r="E7" i="7"/>
  <c r="E23" i="4"/>
  <c r="F24" i="4" s="1"/>
  <c r="G25" i="4" s="1"/>
  <c r="H26" i="4" s="1"/>
  <c r="I27" i="4" s="1"/>
  <c r="J28" i="4" s="1"/>
  <c r="K29" i="4" s="1"/>
  <c r="L30" i="4" s="1"/>
  <c r="M31" i="4" s="1"/>
  <c r="N31" i="4" s="1"/>
  <c r="E21" i="4"/>
  <c r="N59" i="4" l="1"/>
  <c r="N86" i="4"/>
  <c r="N33" i="4"/>
  <c r="F20" i="4"/>
  <c r="F22" i="4"/>
  <c r="G23" i="4" s="1"/>
  <c r="H24" i="4" s="1"/>
  <c r="I25" i="4" s="1"/>
  <c r="J26" i="4" s="1"/>
  <c r="K27" i="4" s="1"/>
  <c r="L28" i="4" s="1"/>
  <c r="M29" i="4" s="1"/>
  <c r="N29" i="4" s="1"/>
  <c r="F7" i="7"/>
  <c r="G7" i="7" s="1"/>
  <c r="E8" i="7"/>
  <c r="N61" i="4" l="1"/>
  <c r="N88" i="4"/>
  <c r="M89" i="4" s="1"/>
  <c r="L90" i="4" s="1"/>
  <c r="N57" i="4"/>
  <c r="M58" i="4" s="1"/>
  <c r="N84" i="4"/>
  <c r="M85" i="4" s="1"/>
  <c r="E9" i="7"/>
  <c r="F8" i="7"/>
  <c r="G8" i="7" s="1"/>
  <c r="G21" i="4"/>
  <c r="H22" i="4" s="1"/>
  <c r="I23" i="4" s="1"/>
  <c r="J24" i="4" s="1"/>
  <c r="K25" i="4" s="1"/>
  <c r="L26" i="4" s="1"/>
  <c r="M27" i="4" s="1"/>
  <c r="N27" i="4" s="1"/>
  <c r="G19" i="4"/>
  <c r="M87" i="4" l="1"/>
  <c r="L88" i="4" s="1"/>
  <c r="K89" i="4" s="1"/>
  <c r="N55" i="4"/>
  <c r="M56" i="4" s="1"/>
  <c r="L57" i="4" s="1"/>
  <c r="N82" i="4"/>
  <c r="M83" i="4" s="1"/>
  <c r="L84" i="4" s="1"/>
  <c r="M62" i="4"/>
  <c r="L63" i="4" s="1"/>
  <c r="M60" i="4"/>
  <c r="H20" i="4"/>
  <c r="I21" i="4" s="1"/>
  <c r="J22" i="4" s="1"/>
  <c r="K23" i="4" s="1"/>
  <c r="L24" i="4" s="1"/>
  <c r="M25" i="4" s="1"/>
  <c r="N25" i="4" s="1"/>
  <c r="H18" i="4"/>
  <c r="E10" i="7"/>
  <c r="F9" i="7"/>
  <c r="G9" i="7" s="1"/>
  <c r="L86" i="4" l="1"/>
  <c r="K85" i="4" s="1"/>
  <c r="L61" i="4"/>
  <c r="K62" i="4" s="1"/>
  <c r="N53" i="4"/>
  <c r="M54" i="4" s="1"/>
  <c r="L55" i="4" s="1"/>
  <c r="K56" i="4" s="1"/>
  <c r="N80" i="4"/>
  <c r="M81" i="4" s="1"/>
  <c r="L82" i="4" s="1"/>
  <c r="K83" i="4" s="1"/>
  <c r="L59" i="4"/>
  <c r="I19" i="4"/>
  <c r="J20" i="4" s="1"/>
  <c r="K21" i="4" s="1"/>
  <c r="L22" i="4" s="1"/>
  <c r="M23" i="4" s="1"/>
  <c r="N23" i="4" s="1"/>
  <c r="I17" i="4"/>
  <c r="F10" i="7"/>
  <c r="G10" i="7" s="1"/>
  <c r="E11" i="7"/>
  <c r="K87" i="4" l="1"/>
  <c r="J88" i="4" s="1"/>
  <c r="J84" i="4"/>
  <c r="K60" i="4"/>
  <c r="J61" i="4" s="1"/>
  <c r="K58" i="4"/>
  <c r="N51" i="4"/>
  <c r="M52" i="4" s="1"/>
  <c r="L53" i="4" s="1"/>
  <c r="K54" i="4" s="1"/>
  <c r="J55" i="4" s="1"/>
  <c r="N78" i="4"/>
  <c r="M79" i="4" s="1"/>
  <c r="L80" i="4" s="1"/>
  <c r="K81" i="4" s="1"/>
  <c r="J82" i="4" s="1"/>
  <c r="I83" i="4" s="1"/>
  <c r="E12" i="7"/>
  <c r="F11" i="7"/>
  <c r="G11" i="7" s="1"/>
  <c r="J18" i="4"/>
  <c r="K19" i="4" s="1"/>
  <c r="L20" i="4" s="1"/>
  <c r="M21" i="4" s="1"/>
  <c r="N21" i="4" s="1"/>
  <c r="J16" i="4"/>
  <c r="J59" i="4" l="1"/>
  <c r="I60" i="4" s="1"/>
  <c r="J86" i="4"/>
  <c r="I87" i="4" s="1"/>
  <c r="J57" i="4"/>
  <c r="N49" i="4"/>
  <c r="M50" i="4" s="1"/>
  <c r="L51" i="4" s="1"/>
  <c r="K52" i="4" s="1"/>
  <c r="J53" i="4" s="1"/>
  <c r="I54" i="4" s="1"/>
  <c r="N76" i="4"/>
  <c r="M77" i="4" s="1"/>
  <c r="L78" i="4" s="1"/>
  <c r="K79" i="4" s="1"/>
  <c r="J80" i="4" s="1"/>
  <c r="I81" i="4" s="1"/>
  <c r="H82" i="4" s="1"/>
  <c r="E13" i="7"/>
  <c r="F12" i="7"/>
  <c r="G12" i="7" s="1"/>
  <c r="K17" i="4"/>
  <c r="L18" i="4" s="1"/>
  <c r="M19" i="4" s="1"/>
  <c r="N19" i="4" s="1"/>
  <c r="K15" i="4"/>
  <c r="I58" i="4" l="1"/>
  <c r="H59" i="4" s="1"/>
  <c r="I85" i="4"/>
  <c r="I56" i="4"/>
  <c r="N47" i="4"/>
  <c r="M48" i="4" s="1"/>
  <c r="L49" i="4" s="1"/>
  <c r="K50" i="4" s="1"/>
  <c r="J51" i="4" s="1"/>
  <c r="I52" i="4" s="1"/>
  <c r="H53" i="4" s="1"/>
  <c r="N74" i="4"/>
  <c r="M75" i="4" s="1"/>
  <c r="L76" i="4" s="1"/>
  <c r="K77" i="4" s="1"/>
  <c r="J78" i="4" s="1"/>
  <c r="I79" i="4" s="1"/>
  <c r="H80" i="4" s="1"/>
  <c r="G81" i="4" s="1"/>
  <c r="L14" i="4"/>
  <c r="L16" i="4"/>
  <c r="M17" i="4" s="1"/>
  <c r="N17" i="4" s="1"/>
  <c r="E14" i="7"/>
  <c r="F13" i="7"/>
  <c r="G13" i="7" s="1"/>
  <c r="H57" i="4" l="1"/>
  <c r="G58" i="4" s="1"/>
  <c r="H86" i="4"/>
  <c r="H84" i="4"/>
  <c r="H55" i="4"/>
  <c r="N45" i="4"/>
  <c r="M46" i="4" s="1"/>
  <c r="L47" i="4" s="1"/>
  <c r="K48" i="4" s="1"/>
  <c r="J49" i="4" s="1"/>
  <c r="I50" i="4" s="1"/>
  <c r="H51" i="4" s="1"/>
  <c r="G52" i="4" s="1"/>
  <c r="N72" i="4"/>
  <c r="M73" i="4" s="1"/>
  <c r="L74" i="4" s="1"/>
  <c r="K75" i="4" s="1"/>
  <c r="J76" i="4" s="1"/>
  <c r="I77" i="4" s="1"/>
  <c r="H78" i="4" s="1"/>
  <c r="G79" i="4" s="1"/>
  <c r="F80" i="4" s="1"/>
  <c r="F14" i="7"/>
  <c r="G14" i="7" s="1"/>
  <c r="E15" i="7"/>
  <c r="M15" i="4"/>
  <c r="N15" i="4" s="1"/>
  <c r="M13" i="4"/>
  <c r="N13" i="4" s="1"/>
  <c r="G56" i="4" l="1"/>
  <c r="F57" i="4" s="1"/>
  <c r="G85" i="4"/>
  <c r="G83" i="4"/>
  <c r="G54" i="4"/>
  <c r="F55" i="4" s="1"/>
  <c r="E56" i="4" s="1"/>
  <c r="N43" i="4"/>
  <c r="M44" i="4" s="1"/>
  <c r="L45" i="4" s="1"/>
  <c r="K46" i="4" s="1"/>
  <c r="J47" i="4" s="1"/>
  <c r="I48" i="4" s="1"/>
  <c r="H49" i="4" s="1"/>
  <c r="G50" i="4" s="1"/>
  <c r="F51" i="4" s="1"/>
  <c r="N70" i="4"/>
  <c r="M71" i="4" s="1"/>
  <c r="L72" i="4" s="1"/>
  <c r="K73" i="4" s="1"/>
  <c r="J74" i="4" s="1"/>
  <c r="I75" i="4" s="1"/>
  <c r="H76" i="4" s="1"/>
  <c r="G77" i="4" s="1"/>
  <c r="F78" i="4" s="1"/>
  <c r="E79" i="4" s="1"/>
  <c r="N41" i="4"/>
  <c r="N68" i="4"/>
  <c r="F15" i="7"/>
  <c r="G15" i="7" s="1"/>
  <c r="E16" i="7"/>
  <c r="F84" i="4" l="1"/>
  <c r="F82" i="4"/>
  <c r="F53" i="4"/>
  <c r="E54" i="4" s="1"/>
  <c r="D55" i="4" s="1"/>
  <c r="M42" i="4"/>
  <c r="L43" i="4" s="1"/>
  <c r="K44" i="4" s="1"/>
  <c r="J45" i="4" s="1"/>
  <c r="I46" i="4" s="1"/>
  <c r="H47" i="4" s="1"/>
  <c r="G48" i="4" s="1"/>
  <c r="F49" i="4" s="1"/>
  <c r="E50" i="4" s="1"/>
  <c r="M69" i="4"/>
  <c r="L70" i="4" s="1"/>
  <c r="K71" i="4" s="1"/>
  <c r="J72" i="4" s="1"/>
  <c r="I73" i="4" s="1"/>
  <c r="H74" i="4" s="1"/>
  <c r="G75" i="4" s="1"/>
  <c r="F76" i="4" s="1"/>
  <c r="E77" i="4" s="1"/>
  <c r="D78" i="4" s="1"/>
  <c r="E17" i="7"/>
  <c r="F16" i="7"/>
  <c r="G16" i="7" s="1"/>
  <c r="E83" i="4" l="1"/>
  <c r="E81" i="4"/>
  <c r="E52" i="4"/>
  <c r="D53" i="4" s="1"/>
  <c r="C54" i="4" s="1"/>
  <c r="E18" i="7"/>
  <c r="F17" i="7"/>
  <c r="G17" i="7" s="1"/>
  <c r="D82" i="4" l="1"/>
  <c r="D80" i="4"/>
  <c r="D51" i="4"/>
  <c r="C52" i="4" s="1"/>
  <c r="B53" i="4" s="1"/>
  <c r="F18" i="7"/>
  <c r="G18" i="7" s="1"/>
  <c r="E19" i="7"/>
  <c r="C81" i="4" l="1"/>
  <c r="C79" i="4"/>
  <c r="E20" i="7"/>
  <c r="F19" i="7"/>
  <c r="G19" i="7" s="1"/>
  <c r="B80" i="4" l="1"/>
  <c r="H5" i="4" s="1"/>
  <c r="E21" i="7"/>
  <c r="F20" i="7"/>
  <c r="G20" i="7" s="1"/>
  <c r="E22" i="7" l="1"/>
  <c r="F21" i="7"/>
  <c r="G21" i="7" s="1"/>
  <c r="F22" i="7" l="1"/>
  <c r="G22" i="7" s="1"/>
  <c r="E23" i="7"/>
  <c r="F23" i="7" l="1"/>
  <c r="G23" i="7" s="1"/>
  <c r="E24" i="7"/>
  <c r="E25" i="7" l="1"/>
  <c r="F24" i="7"/>
  <c r="G24" i="7" s="1"/>
  <c r="E26" i="7" l="1"/>
  <c r="F25" i="7"/>
  <c r="G25" i="7" s="1"/>
  <c r="F26" i="7" l="1"/>
  <c r="G26" i="7" s="1"/>
  <c r="E27" i="7"/>
  <c r="E28" i="7" l="1"/>
  <c r="F27" i="7"/>
  <c r="G27" i="7" s="1"/>
  <c r="E29" i="7" l="1"/>
  <c r="F28" i="7"/>
  <c r="G28" i="7" s="1"/>
  <c r="E30" i="7" l="1"/>
  <c r="F29" i="7"/>
  <c r="G29" i="7" s="1"/>
  <c r="F30" i="7" l="1"/>
  <c r="G30" i="7" s="1"/>
  <c r="E31" i="7"/>
  <c r="F31" i="7" l="1"/>
  <c r="G31" i="7" s="1"/>
  <c r="E32" i="7"/>
  <c r="E33" i="7" l="1"/>
  <c r="F32" i="7"/>
  <c r="G32" i="7" s="1"/>
  <c r="E34" i="7" l="1"/>
  <c r="F33" i="7"/>
  <c r="G33" i="7" s="1"/>
  <c r="F34" i="7" l="1"/>
  <c r="G34" i="7" s="1"/>
  <c r="E35" i="7"/>
  <c r="E36" i="7" l="1"/>
  <c r="F35" i="7"/>
  <c r="G35" i="7" s="1"/>
  <c r="E37" i="7" l="1"/>
  <c r="F36" i="7"/>
  <c r="G36" i="7" s="1"/>
  <c r="E38" i="7" l="1"/>
  <c r="F37" i="7"/>
  <c r="G37" i="7" s="1"/>
  <c r="F38" i="7" l="1"/>
  <c r="G38" i="7" s="1"/>
  <c r="E39" i="7"/>
  <c r="F39" i="7" l="1"/>
  <c r="G39" i="7" s="1"/>
  <c r="E40" i="7"/>
  <c r="E41" i="7" l="1"/>
  <c r="F40" i="7"/>
  <c r="G40" i="7" s="1"/>
  <c r="E42" i="7" l="1"/>
  <c r="F41" i="7"/>
  <c r="G41" i="7" s="1"/>
  <c r="F42" i="7" l="1"/>
  <c r="G42" i="7" s="1"/>
  <c r="E43" i="7"/>
  <c r="E44" i="7" l="1"/>
  <c r="F43" i="7"/>
  <c r="G43" i="7" s="1"/>
  <c r="E45" i="7" l="1"/>
  <c r="F44" i="7"/>
  <c r="G44" i="7" s="1"/>
  <c r="E46" i="7" l="1"/>
  <c r="F45" i="7"/>
  <c r="G45" i="7" s="1"/>
  <c r="F46" i="7" l="1"/>
  <c r="G46" i="7" s="1"/>
  <c r="E47" i="7"/>
  <c r="F47" i="7" l="1"/>
  <c r="G47" i="7" s="1"/>
  <c r="E48" i="7"/>
  <c r="E49" i="7" l="1"/>
  <c r="F48" i="7"/>
  <c r="G48" i="7" s="1"/>
  <c r="E50" i="7" l="1"/>
  <c r="F49" i="7"/>
  <c r="G49" i="7" s="1"/>
  <c r="F50" i="7" l="1"/>
  <c r="G50" i="7" s="1"/>
  <c r="E51" i="7"/>
  <c r="E52" i="7" l="1"/>
  <c r="F51" i="7"/>
  <c r="G51" i="7" s="1"/>
  <c r="E53" i="7" l="1"/>
  <c r="F52" i="7"/>
  <c r="G52" i="7" s="1"/>
  <c r="E54" i="7" l="1"/>
  <c r="F53" i="7"/>
  <c r="G53" i="7" s="1"/>
  <c r="F54" i="7" l="1"/>
  <c r="G54" i="7" s="1"/>
  <c r="E55" i="7"/>
  <c r="F55" i="7" l="1"/>
  <c r="G55" i="7" s="1"/>
  <c r="E56" i="7"/>
  <c r="E57" i="7" l="1"/>
  <c r="F56" i="7"/>
  <c r="G56" i="7" s="1"/>
  <c r="E58" i="7" l="1"/>
  <c r="F57" i="7"/>
  <c r="G57" i="7" s="1"/>
  <c r="F58" i="7" l="1"/>
  <c r="G58" i="7" s="1"/>
  <c r="E59" i="7"/>
  <c r="E60" i="7" l="1"/>
  <c r="F59" i="7"/>
  <c r="G59" i="7" s="1"/>
  <c r="E61" i="7" l="1"/>
  <c r="F60" i="7"/>
  <c r="G60" i="7" s="1"/>
  <c r="E62" i="7" l="1"/>
  <c r="F61" i="7"/>
  <c r="G61" i="7" s="1"/>
  <c r="F62" i="7" l="1"/>
  <c r="G62" i="7" s="1"/>
  <c r="E63" i="7"/>
  <c r="F63" i="7" l="1"/>
  <c r="G63" i="7" s="1"/>
  <c r="E64" i="7"/>
  <c r="E65" i="7" l="1"/>
  <c r="F64" i="7"/>
  <c r="G64" i="7" s="1"/>
  <c r="E66" i="7" l="1"/>
  <c r="F65" i="7"/>
  <c r="G65" i="7" s="1"/>
  <c r="F66" i="7" l="1"/>
  <c r="G66" i="7" s="1"/>
  <c r="E67" i="7"/>
  <c r="E68" i="7" l="1"/>
  <c r="F67" i="7"/>
  <c r="G67" i="7" s="1"/>
  <c r="E69" i="7" l="1"/>
  <c r="F68" i="7"/>
  <c r="G68" i="7" s="1"/>
  <c r="E70" i="7" l="1"/>
  <c r="F69" i="7"/>
  <c r="G69" i="7" s="1"/>
  <c r="F70" i="7" l="1"/>
  <c r="G70" i="7" s="1"/>
  <c r="E71" i="7"/>
  <c r="F71" i="7" l="1"/>
  <c r="G71" i="7" s="1"/>
  <c r="E72" i="7"/>
  <c r="E73" i="7" l="1"/>
  <c r="F72" i="7"/>
  <c r="G72" i="7" s="1"/>
  <c r="E74" i="7" l="1"/>
  <c r="F73" i="7"/>
  <c r="G73" i="7" s="1"/>
  <c r="F74" i="7" l="1"/>
  <c r="G74" i="7" s="1"/>
  <c r="E75" i="7"/>
  <c r="F75" i="7" l="1"/>
  <c r="G75" i="7" s="1"/>
  <c r="E76" i="7"/>
  <c r="E77" i="7" l="1"/>
  <c r="F76" i="7"/>
  <c r="G76" i="7" s="1"/>
  <c r="E78" i="7" l="1"/>
  <c r="F77" i="7"/>
  <c r="G77" i="7" s="1"/>
  <c r="F78" i="7" l="1"/>
  <c r="G78" i="7" s="1"/>
  <c r="E79" i="7"/>
  <c r="F79" i="7" l="1"/>
  <c r="G79" i="7" s="1"/>
  <c r="E80" i="7"/>
  <c r="E81" i="7" l="1"/>
  <c r="F80" i="7"/>
  <c r="G80" i="7" s="1"/>
  <c r="E82" i="7" l="1"/>
  <c r="F81" i="7"/>
  <c r="G81" i="7" s="1"/>
  <c r="F82" i="7" l="1"/>
  <c r="G82" i="7" s="1"/>
  <c r="E83" i="7"/>
  <c r="F83" i="7" l="1"/>
  <c r="G83" i="7" s="1"/>
  <c r="E84" i="7"/>
  <c r="E85" i="7" l="1"/>
  <c r="F84" i="7"/>
  <c r="G84" i="7" s="1"/>
  <c r="E86" i="7" l="1"/>
  <c r="F85" i="7"/>
  <c r="G85" i="7" s="1"/>
  <c r="F86" i="7" l="1"/>
  <c r="G86" i="7" s="1"/>
  <c r="E87" i="7"/>
  <c r="F87" i="7" l="1"/>
  <c r="G87" i="7" s="1"/>
  <c r="E88" i="7"/>
  <c r="E89" i="7" l="1"/>
  <c r="F88" i="7"/>
  <c r="G88" i="7" s="1"/>
  <c r="E90" i="7" l="1"/>
  <c r="F89" i="7"/>
  <c r="G89" i="7" s="1"/>
  <c r="E91" i="7" l="1"/>
  <c r="F90" i="7"/>
  <c r="G90" i="7" s="1"/>
  <c r="F91" i="7" l="1"/>
  <c r="G91" i="7" s="1"/>
  <c r="E92" i="7"/>
  <c r="E93" i="7" l="1"/>
  <c r="F92" i="7"/>
  <c r="G92" i="7" s="1"/>
  <c r="E94" i="7" l="1"/>
  <c r="F93" i="7"/>
  <c r="G93" i="7" s="1"/>
  <c r="F94" i="7" l="1"/>
  <c r="G94" i="7" s="1"/>
  <c r="E95" i="7"/>
  <c r="F95" i="7" l="1"/>
  <c r="G95" i="7" s="1"/>
  <c r="E96" i="7"/>
  <c r="E97" i="7" l="1"/>
  <c r="F96" i="7"/>
  <c r="G96" i="7" s="1"/>
  <c r="E98" i="7" l="1"/>
  <c r="F97" i="7"/>
  <c r="G97" i="7" s="1"/>
  <c r="F98" i="7" l="1"/>
  <c r="G98" i="7" s="1"/>
  <c r="E99" i="7"/>
  <c r="F99" i="7" l="1"/>
  <c r="G99" i="7" s="1"/>
  <c r="E100" i="7"/>
  <c r="E101" i="7" l="1"/>
  <c r="F100" i="7"/>
  <c r="G100" i="7" s="1"/>
  <c r="E102" i="7" l="1"/>
  <c r="F101" i="7"/>
  <c r="G101" i="7" s="1"/>
  <c r="F102" i="7" l="1"/>
  <c r="G102" i="7" s="1"/>
  <c r="E103" i="7"/>
  <c r="F103" i="7" l="1"/>
  <c r="G103" i="7" s="1"/>
  <c r="E104" i="7"/>
  <c r="E105" i="7" l="1"/>
  <c r="F104" i="7"/>
  <c r="G104" i="7" s="1"/>
  <c r="E106" i="7" l="1"/>
  <c r="F105" i="7"/>
  <c r="G105" i="7" s="1"/>
  <c r="F106" i="7" l="1"/>
  <c r="G106" i="7" s="1"/>
  <c r="E107" i="7"/>
  <c r="F107" i="7" l="1"/>
  <c r="G107" i="7" s="1"/>
  <c r="E108" i="7"/>
  <c r="E109" i="7" l="1"/>
  <c r="F108" i="7"/>
  <c r="G108" i="7" s="1"/>
  <c r="E110" i="7" l="1"/>
  <c r="F109" i="7"/>
  <c r="G109" i="7" s="1"/>
  <c r="F110" i="7" l="1"/>
  <c r="G110" i="7" s="1"/>
  <c r="E111" i="7"/>
  <c r="F111" i="7" l="1"/>
  <c r="G111" i="7" s="1"/>
  <c r="E112" i="7"/>
  <c r="E113" i="7" l="1"/>
  <c r="F112" i="7"/>
  <c r="G112" i="7" s="1"/>
  <c r="E114" i="7" l="1"/>
  <c r="F113" i="7"/>
  <c r="G113" i="7" s="1"/>
  <c r="F114" i="7" l="1"/>
  <c r="G114" i="7" s="1"/>
  <c r="E115" i="7"/>
  <c r="F115" i="7" l="1"/>
  <c r="G115" i="7" s="1"/>
  <c r="E116" i="7"/>
  <c r="E117" i="7" l="1"/>
  <c r="F116" i="7"/>
  <c r="G116" i="7" s="1"/>
  <c r="E118" i="7" l="1"/>
  <c r="F117" i="7"/>
  <c r="G117" i="7" s="1"/>
  <c r="F118" i="7" l="1"/>
  <c r="G118" i="7" s="1"/>
  <c r="E119" i="7"/>
  <c r="F119" i="7" l="1"/>
  <c r="G119" i="7" s="1"/>
  <c r="E120" i="7"/>
  <c r="E121" i="7" l="1"/>
  <c r="F120" i="7"/>
  <c r="G120" i="7" s="1"/>
  <c r="E122" i="7" l="1"/>
  <c r="F121" i="7"/>
  <c r="G121" i="7" s="1"/>
  <c r="F122" i="7" l="1"/>
  <c r="G122" i="7" s="1"/>
  <c r="E123" i="7"/>
  <c r="F123" i="7" l="1"/>
  <c r="G123" i="7" s="1"/>
  <c r="E124" i="7"/>
  <c r="E125" i="7" l="1"/>
  <c r="F124" i="7"/>
  <c r="G124" i="7" s="1"/>
  <c r="E126" i="7" l="1"/>
  <c r="F125" i="7"/>
  <c r="G125" i="7" s="1"/>
  <c r="F126" i="7" l="1"/>
  <c r="G126" i="7" s="1"/>
  <c r="E127" i="7"/>
  <c r="F127" i="7" l="1"/>
  <c r="G127" i="7" s="1"/>
  <c r="E128" i="7"/>
  <c r="E129" i="7" l="1"/>
  <c r="F128" i="7"/>
  <c r="G128" i="7" s="1"/>
  <c r="E130" i="7" l="1"/>
  <c r="F129" i="7"/>
  <c r="G129" i="7" s="1"/>
  <c r="F130" i="7" l="1"/>
  <c r="G130" i="7" s="1"/>
  <c r="E131" i="7"/>
  <c r="F131" i="7" l="1"/>
  <c r="G131" i="7" s="1"/>
  <c r="E132" i="7"/>
  <c r="E133" i="7" l="1"/>
  <c r="F132" i="7"/>
  <c r="G132" i="7" s="1"/>
  <c r="E134" i="7" l="1"/>
  <c r="F133" i="7"/>
  <c r="G133" i="7" s="1"/>
  <c r="F134" i="7" l="1"/>
  <c r="G134" i="7" s="1"/>
  <c r="E135" i="7"/>
  <c r="F135" i="7" l="1"/>
  <c r="G135" i="7" s="1"/>
  <c r="E136" i="7"/>
  <c r="E137" i="7" l="1"/>
  <c r="F136" i="7"/>
  <c r="G136" i="7" s="1"/>
  <c r="E138" i="7" l="1"/>
  <c r="F137" i="7"/>
  <c r="G137" i="7" s="1"/>
  <c r="F138" i="7" l="1"/>
  <c r="G138" i="7" s="1"/>
  <c r="E139" i="7"/>
  <c r="F139" i="7" l="1"/>
  <c r="G139" i="7" s="1"/>
  <c r="E140" i="7"/>
  <c r="E141" i="7" l="1"/>
  <c r="F140" i="7"/>
  <c r="G140" i="7" s="1"/>
  <c r="E142" i="7" l="1"/>
  <c r="F141" i="7"/>
  <c r="G141" i="7" s="1"/>
  <c r="F142" i="7" l="1"/>
  <c r="G142" i="7" s="1"/>
  <c r="E143" i="7"/>
  <c r="F143" i="7" l="1"/>
  <c r="G143" i="7" s="1"/>
  <c r="E144" i="7"/>
  <c r="E145" i="7" l="1"/>
  <c r="F144" i="7"/>
  <c r="G144" i="7" s="1"/>
  <c r="E146" i="7" l="1"/>
  <c r="F145" i="7"/>
  <c r="G145" i="7" s="1"/>
  <c r="F146" i="7" l="1"/>
  <c r="G146" i="7" s="1"/>
  <c r="E147" i="7"/>
  <c r="F147" i="7" l="1"/>
  <c r="G147" i="7" s="1"/>
  <c r="E148" i="7"/>
  <c r="E149" i="7" l="1"/>
  <c r="F148" i="7"/>
  <c r="G148" i="7" s="1"/>
  <c r="E150" i="7" l="1"/>
  <c r="F149" i="7"/>
  <c r="G149" i="7" s="1"/>
  <c r="F150" i="7" l="1"/>
  <c r="G150" i="7" s="1"/>
  <c r="E151" i="7"/>
  <c r="F151" i="7" l="1"/>
  <c r="G151" i="7" s="1"/>
  <c r="E152" i="7"/>
  <c r="E153" i="7" l="1"/>
  <c r="F152" i="7"/>
  <c r="G152" i="7" s="1"/>
  <c r="E154" i="7" l="1"/>
  <c r="F153" i="7"/>
  <c r="G153" i="7" s="1"/>
  <c r="F154" i="7" l="1"/>
  <c r="G154" i="7" s="1"/>
  <c r="E155" i="7"/>
  <c r="F155" i="7" l="1"/>
  <c r="G155" i="7" s="1"/>
  <c r="E156" i="7"/>
  <c r="E157" i="7" l="1"/>
  <c r="F156" i="7"/>
  <c r="G156" i="7" s="1"/>
  <c r="E158" i="7" l="1"/>
  <c r="F157" i="7"/>
  <c r="G157" i="7" s="1"/>
  <c r="F158" i="7" l="1"/>
  <c r="G158" i="7" s="1"/>
  <c r="E159" i="7"/>
  <c r="F159" i="7" l="1"/>
  <c r="G159" i="7" s="1"/>
  <c r="E160" i="7"/>
  <c r="E161" i="7" l="1"/>
  <c r="F160" i="7"/>
  <c r="G160" i="7" s="1"/>
  <c r="E162" i="7" l="1"/>
  <c r="F161" i="7"/>
  <c r="G161" i="7" s="1"/>
  <c r="F162" i="7" l="1"/>
  <c r="G162" i="7" s="1"/>
  <c r="E163" i="7"/>
  <c r="F163" i="7" l="1"/>
  <c r="G163" i="7" s="1"/>
  <c r="E164" i="7"/>
  <c r="E165" i="7" l="1"/>
  <c r="F164" i="7"/>
  <c r="G164" i="7" s="1"/>
  <c r="E166" i="7" l="1"/>
  <c r="F165" i="7"/>
  <c r="G165" i="7" s="1"/>
  <c r="F166" i="7" l="1"/>
  <c r="G166" i="7" s="1"/>
  <c r="E167" i="7"/>
  <c r="F167" i="7" l="1"/>
  <c r="G167" i="7" s="1"/>
  <c r="E168" i="7"/>
  <c r="E169" i="7" l="1"/>
  <c r="F168" i="7"/>
  <c r="G168" i="7" s="1"/>
  <c r="E170" i="7" l="1"/>
  <c r="F169" i="7"/>
  <c r="G169" i="7" s="1"/>
  <c r="F170" i="7" l="1"/>
  <c r="G170" i="7" s="1"/>
  <c r="E171" i="7"/>
  <c r="F171" i="7" l="1"/>
  <c r="G171" i="7" s="1"/>
  <c r="E172" i="7"/>
  <c r="E173" i="7" l="1"/>
  <c r="F172" i="7"/>
  <c r="G172" i="7" s="1"/>
  <c r="E174" i="7" l="1"/>
  <c r="F173" i="7"/>
  <c r="G173" i="7" s="1"/>
  <c r="F174" i="7" l="1"/>
  <c r="G174" i="7" s="1"/>
  <c r="E175" i="7"/>
  <c r="F175" i="7" l="1"/>
  <c r="G175" i="7" s="1"/>
  <c r="E176" i="7"/>
  <c r="E177" i="7" l="1"/>
  <c r="F176" i="7"/>
  <c r="G176" i="7" s="1"/>
  <c r="E178" i="7" l="1"/>
  <c r="F177" i="7"/>
  <c r="G177" i="7" s="1"/>
  <c r="F178" i="7" l="1"/>
  <c r="G178" i="7" s="1"/>
  <c r="E179" i="7"/>
  <c r="F179" i="7" l="1"/>
  <c r="G179" i="7" s="1"/>
  <c r="E180" i="7"/>
  <c r="E181" i="7" l="1"/>
  <c r="F180" i="7"/>
  <c r="G180" i="7" s="1"/>
  <c r="E182" i="7" l="1"/>
  <c r="F181" i="7"/>
  <c r="G181" i="7" s="1"/>
  <c r="F182" i="7" l="1"/>
  <c r="G182" i="7" s="1"/>
  <c r="E183" i="7"/>
  <c r="F183" i="7" l="1"/>
  <c r="G183" i="7" s="1"/>
  <c r="E184" i="7"/>
  <c r="E185" i="7" l="1"/>
  <c r="F184" i="7"/>
  <c r="G184" i="7" s="1"/>
  <c r="E186" i="7" l="1"/>
  <c r="F185" i="7"/>
  <c r="G185" i="7" s="1"/>
  <c r="F186" i="7" l="1"/>
  <c r="G186" i="7" s="1"/>
  <c r="E187" i="7"/>
  <c r="F187" i="7" l="1"/>
  <c r="G187" i="7" s="1"/>
  <c r="E188" i="7"/>
  <c r="E189" i="7" l="1"/>
  <c r="F188" i="7"/>
  <c r="G188" i="7" s="1"/>
  <c r="E190" i="7" l="1"/>
  <c r="F189" i="7"/>
  <c r="G189" i="7" s="1"/>
  <c r="F190" i="7" l="1"/>
  <c r="G190" i="7" s="1"/>
  <c r="E191" i="7"/>
  <c r="F191" i="7" l="1"/>
  <c r="G191" i="7" s="1"/>
  <c r="E192" i="7"/>
  <c r="E193" i="7" l="1"/>
  <c r="F192" i="7"/>
  <c r="G192" i="7" s="1"/>
  <c r="E194" i="7" l="1"/>
  <c r="F193" i="7"/>
  <c r="G193" i="7" s="1"/>
  <c r="F194" i="7" l="1"/>
  <c r="G194" i="7" s="1"/>
  <c r="E195" i="7"/>
  <c r="F195" i="7" l="1"/>
  <c r="G195" i="7" s="1"/>
  <c r="E196" i="7"/>
  <c r="E197" i="7" l="1"/>
  <c r="F196" i="7"/>
  <c r="G196" i="7" s="1"/>
  <c r="E198" i="7" l="1"/>
  <c r="F197" i="7"/>
  <c r="G197" i="7" s="1"/>
  <c r="F198" i="7" l="1"/>
  <c r="G198" i="7" s="1"/>
  <c r="E199" i="7"/>
  <c r="F199" i="7" l="1"/>
  <c r="G199" i="7" s="1"/>
  <c r="E200" i="7"/>
  <c r="E201" i="7" l="1"/>
  <c r="F200" i="7"/>
  <c r="G200" i="7" s="1"/>
  <c r="E202" i="7" l="1"/>
  <c r="F201" i="7"/>
  <c r="G201" i="7" s="1"/>
  <c r="F202" i="7" l="1"/>
  <c r="G202" i="7" s="1"/>
  <c r="E203" i="7"/>
  <c r="F203" i="7" s="1"/>
  <c r="G203" i="7" s="1"/>
</calcChain>
</file>

<file path=xl/sharedStrings.xml><?xml version="1.0" encoding="utf-8"?>
<sst xmlns="http://schemas.openxmlformats.org/spreadsheetml/2006/main" count="59" uniqueCount="56">
  <si>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</si>
  <si>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</si>
  <si>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</si>
  <si>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</si>
  <si>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</si>
  <si>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</si>
  <si>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</si>
  <si>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</si>
  <si>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</si>
  <si>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</si>
  <si>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Call</t>
  </si>
  <si>
    <t>Option Inputs</t>
  </si>
  <si>
    <t>Type</t>
  </si>
  <si>
    <t>Put</t>
  </si>
  <si>
    <t>Stock's Price</t>
  </si>
  <si>
    <t>Exercise</t>
  </si>
  <si>
    <t>Rate</t>
  </si>
  <si>
    <t>Volatility</t>
  </si>
  <si>
    <t>Time (year fraction)</t>
  </si>
  <si>
    <t>Stock Expected Return</t>
  </si>
  <si>
    <t>EUROPEAN OPTION - BINOMIAL MODEL</t>
  </si>
  <si>
    <t>Factors calculation</t>
  </si>
  <si>
    <t>Parameters calculation</t>
  </si>
  <si>
    <t>Option Price</t>
  </si>
  <si>
    <t>Up-Factor (per step)</t>
  </si>
  <si>
    <t>Risk-free rate (per Step)</t>
  </si>
  <si>
    <t>Down-Factor (per step)</t>
  </si>
  <si>
    <t>Risk-neutral probability</t>
  </si>
  <si>
    <r>
      <rPr>
        <b/>
        <sz val="11"/>
        <color theme="1"/>
        <rFont val="Calibri"/>
        <family val="2"/>
      </rPr>
      <t xml:space="preserve">12 : </t>
    </r>
    <r>
      <rPr>
        <b/>
        <i/>
        <sz val="11"/>
        <color theme="1"/>
        <rFont val="Calibri"/>
        <family val="2"/>
      </rPr>
      <t>without dividends</t>
    </r>
  </si>
  <si>
    <r>
      <rPr>
        <b/>
        <sz val="11"/>
        <color theme="1"/>
        <rFont val="Calibri"/>
        <family val="2"/>
      </rPr>
      <t xml:space="preserve">12 : </t>
    </r>
    <r>
      <rPr>
        <b/>
        <i/>
        <sz val="11"/>
        <color theme="1"/>
        <rFont val="Calibri"/>
        <family val="2"/>
      </rPr>
      <t>after dividends</t>
    </r>
  </si>
  <si>
    <t>Share Price Evolution in Time</t>
  </si>
  <si>
    <t>Trading Price</t>
  </si>
  <si>
    <t>Option Premium Evolution in Time</t>
  </si>
  <si>
    <t>Option Price - Call</t>
  </si>
  <si>
    <t>Option Price - Put</t>
  </si>
  <si>
    <t>Results</t>
  </si>
  <si>
    <t xml:space="preserve">     </t>
  </si>
  <si>
    <t>d_1</t>
  </si>
  <si>
    <t>d_2</t>
  </si>
  <si>
    <t>Nd_1</t>
  </si>
  <si>
    <t>Nd_2</t>
  </si>
  <si>
    <t>Nminusd_1</t>
  </si>
  <si>
    <t>Nminusd_2</t>
  </si>
  <si>
    <t>Options' Price</t>
  </si>
  <si>
    <t>VBA Black and Scholes Model</t>
  </si>
  <si>
    <t>type_options_list</t>
  </si>
  <si>
    <t>Price</t>
  </si>
  <si>
    <t>Payoff</t>
  </si>
  <si>
    <t>Dividend Rate</t>
  </si>
  <si>
    <t>Number of  Periods (Binomial Model)</t>
  </si>
  <si>
    <t>EUROPEAN OPTION - B&amp;S MODEL</t>
  </si>
  <si>
    <t>Checking if the models (excel and VBA) have the same result</t>
  </si>
  <si>
    <t>Year</t>
  </si>
  <si>
    <t>Dividends</t>
  </si>
  <si>
    <t>Close</t>
  </si>
  <si>
    <t>Dividends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</si>
</sst>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409]* #,##0.00_ ;_-[$$-409]* \-#,##0.00\ ;_-[$$-409]* &quot;-&quot;??_ ;_-@_ "/>
    <numFmt numFmtId="165" formatCode="_-[$$-409]* #,##0.0000_ ;_-[$$-409]* \-#,##0.0000\ ;_-[$$-409]* &quot;-&quot;????_ ;_-@_ "/>
    <numFmt numFmtId="166" formatCode="0.0000"/>
    <numFmt numFmtId="167" formatCode="0.000"/>
    <numFmt numFmtId="168" formatCode="0.000%"/>
  </numFmts>
  <fonts count="26" x14ac:knownFonts="1">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1"/>
      <color theme="1"/>
      <name val="Calibri"/>
      <family val="2"/>
    </font>
    <font>
      <b/>
      <sz val="20"/>
      <color theme="1"/>
      <name val="Calibri"/>
      <family val="2"/>
    </font>
    <font>
      <b/>
      <sz val="11"/>
      <color theme="1"/>
      <name val="Calibri"/>
      <family val="2"/>
    </font>
    <font>
      <sz val="11"/>
      <color theme="1"/>
      <name val="Arial"/>
      <family val="2"/>
    </font>
    <font>
      <sz val="11"/>
      <color rgb="FF3F3F76"/>
      <name val="Calibri"/>
      <family val="2"/>
    </font>
    <font>
      <i/>
      <sz val="11"/>
      <color theme="1"/>
      <name val="Arial"/>
      <family val="2"/>
    </font>
    <font>
      <b/>
      <sz val="40"/>
      <color theme="1"/>
      <name val="Calibri"/>
      <family val="2"/>
    </font>
    <font>
      <sz val="20"/>
      <color theme="1"/>
      <name val="Calibri"/>
      <family val="2"/>
    </font>
    <font>
      <b/>
      <i/>
      <sz val="11"/>
      <color theme="1"/>
      <name val="Calibri"/>
      <family val="2"/>
    </font>
    <font>
      <b/>
      <sz val="12"/>
      <color theme="1"/>
      <name val="Arial"/>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2"/>
      <color rgb="FF000000"/>
      <name val="Calibri"/>
      <family val="2"/>
    </font>
    <font>
      <sz val="11"/>
      <color rgb="FF000000"/>
      <name val="Arial"/>
      <family val="2"/>
    </font>
    <font>
      <sz val="13"/>
      <color theme="1"/>
      <name val="Calibri"/>
      <family val="2"/>
    </font>
    <font>
      <sz val="11"/>
      <color theme="1"/>
      <name val="Arial"/>
      <family val="2"/>
    </font>
    <font>
      <b/>
      <sz val="11"/>
      <color theme="1"/>
      <name val="Calibri"/>
      <family val="2"/>
      <scheme val="minor"/>
    </font>
  </fonts>
  <fills count="16">
    <fill>
      <patternFill patternType="none"/>
    </fill>
    <fill>
      <patternFill patternType="gray125"/>
    </fill>
    <fill>
      <patternFill patternType="solid">
        <fgColor rgb="FFFFCC99"/>
        <bgColor rgb="FFFFCC99"/>
      </patternFill>
    </fill>
    <fill>
      <patternFill patternType="solid">
        <fgColor rgb="FFD6DCE4"/>
        <bgColor rgb="FFD6DCE4"/>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rgb="FFD0CECE"/>
        <bgColor rgb="FFD0CECE"/>
      </patternFill>
    </fill>
    <fill>
      <patternFill patternType="solid">
        <fgColor theme="5" tint="0.39997558519241921"/>
        <bgColor rgb="FFFBE4D5"/>
      </patternFill>
    </fill>
    <fill>
      <patternFill patternType="solid">
        <fgColor theme="0"/>
        <bgColor rgb="FFD0CECE"/>
      </patternFill>
    </fill>
    <fill>
      <patternFill patternType="solid">
        <fgColor theme="0"/>
        <bgColor rgb="FFFBE4D5"/>
      </patternFill>
    </fill>
    <fill>
      <patternFill patternType="solid">
        <fgColor rgb="FFFFC000"/>
        <bgColor rgb="FFFBE4D5"/>
      </patternFill>
    </fill>
    <fill>
      <patternFill patternType="solid">
        <fgColor theme="4" tint="0.39997558519241921"/>
        <bgColor indexed="64"/>
      </patternFill>
    </fill>
    <fill>
      <patternFill patternType="solid">
        <fgColor theme="0" tint="-0.14999847407452621"/>
        <bgColor rgb="FFFFFF00"/>
      </patternFill>
    </fill>
    <fill>
      <patternFill patternType="solid">
        <fgColor theme="0"/>
        <bgColor rgb="FFF2F2F2"/>
      </patternFill>
    </fill>
    <fill>
      <patternFill patternType="solid">
        <fgColor theme="0" tint="-4.9989318521683403E-2"/>
        <bgColor rgb="FFFBE4D5"/>
      </patternFill>
    </fill>
  </fills>
  <borders count="33">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375F91"/>
      </right>
      <top/>
      <bottom/>
      <diagonal/>
    </border>
    <border>
      <left style="thin">
        <color rgb="FF375F91"/>
      </left>
      <right/>
      <top/>
      <bottom style="thin">
        <color rgb="FF375F91"/>
      </bottom>
      <diagonal/>
    </border>
    <border>
      <left/>
      <right style="thin">
        <color rgb="FF375F91"/>
      </right>
      <top/>
      <bottom style="thin">
        <color rgb="FF375F91"/>
      </bottom>
      <diagonal/>
    </border>
    <border>
      <left style="thin">
        <color rgb="FF000000"/>
      </left>
      <right style="thin">
        <color rgb="FF000000"/>
      </right>
      <top/>
      <bottom style="thin">
        <color rgb="FF000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rgb="FF7F7F7F"/>
      </right>
      <top style="thin">
        <color rgb="FF7F7F7F"/>
      </top>
      <bottom/>
      <diagonal/>
    </border>
    <border>
      <left style="thin">
        <color rgb="FF000000"/>
      </left>
      <right style="thin">
        <color rgb="FF000000"/>
      </right>
      <top style="thin">
        <color rgb="FF000000"/>
      </top>
      <bottom style="thin">
        <color indexed="64"/>
      </bottom>
      <diagonal/>
    </border>
    <border>
      <left/>
      <right style="thin">
        <color rgb="FF000000"/>
      </right>
      <top style="thin">
        <color rgb="FF000000"/>
      </top>
      <bottom style="thin">
        <color rgb="FF000000"/>
      </bottom>
      <diagonal/>
    </border>
  </borders>
  <cellStyleXfs count="3">
    <xf numFmtId="0" fontId="0" fillId="0" borderId="0"/>
    <xf numFmtId="0" fontId="4" fillId="0" borderId="0" applyNumberFormat="0" applyFill="0" applyBorder="0" applyAlignment="0" applyProtection="0"/>
    <xf numFmtId="9" fontId="24" fillId="0" borderId="0" applyFont="0" applyFill="0" applyBorder="0" applyAlignment="0" applyProtection="0"/>
  </cellStyleXfs>
  <cellXfs count="83">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8" fillId="0" borderId="0" xfId="0" applyFont="1"/>
    <xf numFmtId="0" fontId="9" fillId="3" borderId="9" xfId="0" applyFont="1" applyFill="1" applyBorder="1"/>
    <xf numFmtId="164" fontId="11" fillId="2" borderId="9" xfId="0" applyNumberFormat="1" applyFont="1" applyFill="1" applyBorder="1" applyAlignment="1">
      <alignment horizontal="center"/>
    </xf>
    <xf numFmtId="4" fontId="11" fillId="2" borderId="9" xfId="0" applyNumberFormat="1" applyFont="1" applyFill="1" applyBorder="1" applyAlignment="1">
      <alignment horizontal="center"/>
    </xf>
    <xf numFmtId="0" fontId="7" fillId="0" borderId="0" xfId="0" applyFont="1" applyAlignment="1">
      <alignment horizontal="center"/>
    </xf>
    <xf numFmtId="0" fontId="0" fillId="0" borderId="0" xfId="0" applyFont="1"/>
    <xf numFmtId="0" fontId="13" fillId="0" borderId="0" xfId="0" applyFont="1"/>
    <xf numFmtId="0" fontId="14" fillId="0" borderId="0" xfId="0" applyFont="1"/>
    <xf numFmtId="0" fontId="15" fillId="4" borderId="9" xfId="0" applyFont="1" applyFill="1" applyBorder="1"/>
    <xf numFmtId="0" fontId="16" fillId="5" borderId="10" xfId="0" applyFont="1" applyFill="1" applyBorder="1"/>
    <xf numFmtId="165" fontId="16" fillId="6" borderId="11" xfId="0" applyNumberFormat="1" applyFont="1" applyFill="1" applyBorder="1"/>
    <xf numFmtId="0" fontId="9" fillId="6" borderId="9" xfId="0" applyFont="1" applyFill="1" applyBorder="1"/>
    <xf numFmtId="0" fontId="0" fillId="0" borderId="9" xfId="0" applyFont="1" applyBorder="1"/>
    <xf numFmtId="0" fontId="9" fillId="0" borderId="9" xfId="0" applyFont="1" applyBorder="1"/>
    <xf numFmtId="164" fontId="0" fillId="0" borderId="0" xfId="0" applyNumberFormat="1" applyFont="1"/>
    <xf numFmtId="164" fontId="9" fillId="0" borderId="9" xfId="0" applyNumberFormat="1" applyFont="1" applyBorder="1"/>
    <xf numFmtId="164" fontId="0" fillId="0" borderId="9" xfId="0" applyNumberFormat="1" applyFont="1" applyBorder="1"/>
    <xf numFmtId="164" fontId="9" fillId="0" borderId="0" xfId="0" applyNumberFormat="1" applyFont="1"/>
    <xf numFmtId="164" fontId="8" fillId="0" borderId="0" xfId="0" applyNumberFormat="1" applyFont="1"/>
    <xf numFmtId="164" fontId="17" fillId="0" borderId="0" xfId="0" applyNumberFormat="1" applyFont="1"/>
    <xf numFmtId="164" fontId="18" fillId="5" borderId="9" xfId="0" applyNumberFormat="1" applyFont="1" applyFill="1" applyBorder="1"/>
    <xf numFmtId="0" fontId="7" fillId="0" borderId="0" xfId="0" applyFont="1"/>
    <xf numFmtId="2" fontId="7" fillId="0" borderId="0" xfId="0" applyNumberFormat="1" applyFont="1"/>
    <xf numFmtId="164" fontId="7" fillId="0" borderId="0" xfId="0" applyNumberFormat="1" applyFont="1"/>
    <xf numFmtId="0" fontId="9" fillId="3" borderId="23" xfId="0" applyFont="1" applyFill="1" applyBorder="1"/>
    <xf numFmtId="2" fontId="11" fillId="2" borderId="23" xfId="0" applyNumberFormat="1" applyFont="1" applyFill="1" applyBorder="1" applyAlignment="1">
      <alignment horizontal="center"/>
    </xf>
    <xf numFmtId="0" fontId="2" fillId="0" borderId="18" xfId="0" applyFont="1" applyBorder="1"/>
    <xf numFmtId="0" fontId="0" fillId="0" borderId="0" xfId="0" applyFont="1" applyAlignment="1"/>
    <xf numFmtId="0" fontId="23" fillId="0" borderId="0" xfId="0" applyFont="1"/>
    <xf numFmtId="167" fontId="20" fillId="6" borderId="27" xfId="0" applyNumberFormat="1" applyFont="1" applyFill="1" applyBorder="1"/>
    <xf numFmtId="0" fontId="9" fillId="8" borderId="26" xfId="0" applyFont="1" applyFill="1" applyBorder="1"/>
    <xf numFmtId="167" fontId="20" fillId="6" borderId="30" xfId="0" applyNumberFormat="1" applyFont="1" applyFill="1" applyBorder="1"/>
    <xf numFmtId="0" fontId="19" fillId="9" borderId="18" xfId="0" applyFont="1" applyFill="1" applyBorder="1"/>
    <xf numFmtId="0" fontId="7" fillId="9" borderId="18" xfId="0" applyFont="1" applyFill="1" applyBorder="1"/>
    <xf numFmtId="0" fontId="7" fillId="10" borderId="15" xfId="0" applyFont="1" applyFill="1" applyBorder="1"/>
    <xf numFmtId="0" fontId="7" fillId="10" borderId="19" xfId="0" applyFont="1" applyFill="1" applyBorder="1"/>
    <xf numFmtId="0" fontId="7" fillId="10" borderId="21" xfId="0" applyFont="1" applyFill="1" applyBorder="1"/>
    <xf numFmtId="0" fontId="7" fillId="10" borderId="16" xfId="0" applyFont="1" applyFill="1" applyBorder="1"/>
    <xf numFmtId="0" fontId="7" fillId="10" borderId="17" xfId="0" applyFont="1" applyFill="1" applyBorder="1"/>
    <xf numFmtId="0" fontId="7" fillId="10" borderId="20" xfId="0" applyFont="1" applyFill="1" applyBorder="1"/>
    <xf numFmtId="0" fontId="7" fillId="10" borderId="22" xfId="0" applyFont="1" applyFill="1" applyBorder="1"/>
    <xf numFmtId="0" fontId="7" fillId="7" borderId="26" xfId="0" applyFont="1" applyFill="1" applyBorder="1"/>
    <xf numFmtId="0" fontId="9" fillId="0" borderId="26" xfId="0" applyFont="1" applyBorder="1"/>
    <xf numFmtId="0" fontId="9" fillId="11" borderId="29" xfId="0" applyFont="1" applyFill="1" applyBorder="1"/>
    <xf numFmtId="0" fontId="9" fillId="12" borderId="29" xfId="0" applyFont="1" applyFill="1" applyBorder="1"/>
    <xf numFmtId="167" fontId="9" fillId="13" borderId="28" xfId="0" applyNumberFormat="1" applyFont="1" applyFill="1" applyBorder="1"/>
    <xf numFmtId="166" fontId="9" fillId="14" borderId="27" xfId="0" applyNumberFormat="1" applyFont="1" applyFill="1" applyBorder="1"/>
    <xf numFmtId="0" fontId="9" fillId="15" borderId="26" xfId="0" applyFont="1" applyFill="1" applyBorder="1"/>
    <xf numFmtId="168" fontId="11" fillId="2" borderId="9" xfId="0" applyNumberFormat="1" applyFont="1" applyFill="1" applyBorder="1" applyAlignment="1">
      <alignment horizontal="center"/>
    </xf>
    <xf numFmtId="0" fontId="10" fillId="0" borderId="0" xfId="0" applyFont="1" applyAlignment="1"/>
    <xf numFmtId="0" fontId="9" fillId="3" borderId="31" xfId="0" applyFont="1" applyFill="1" applyBorder="1" applyAlignment="1"/>
    <xf numFmtId="10" fontId="11" fillId="2" borderId="9" xfId="0" applyNumberFormat="1" applyFont="1" applyFill="1" applyBorder="1" applyAlignment="1">
      <alignment horizontal="center"/>
    </xf>
    <xf numFmtId="0" fontId="4" fillId="0" borderId="0" xfId="1"/>
    <xf numFmtId="0" fontId="18" fillId="0" borderId="0" xfId="0" applyFont="1" applyAlignment="1"/>
    <xf numFmtId="3" fontId="11" fillId="2" borderId="32" xfId="0" applyNumberFormat="1" applyFont="1" applyFill="1" applyBorder="1" applyAlignment="1">
      <alignment horizontal="center"/>
    </xf>
    <xf numFmtId="0" fontId="9" fillId="3" borderId="26" xfId="0" applyFont="1" applyFill="1" applyBorder="1" applyAlignment="1"/>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12" fillId="0" borderId="24" xfId="0" applyFont="1" applyBorder="1" applyAlignment="1">
      <alignment horizontal="center"/>
    </xf>
    <xf numFmtId="0" fontId="2" fillId="0" borderId="25" xfId="0" applyFont="1" applyBorder="1"/>
    <xf numFmtId="0" fontId="7" fillId="0" borderId="12" xfId="0" applyFont="1" applyBorder="1" applyAlignment="1">
      <alignment horizontal="center"/>
    </xf>
    <xf numFmtId="0" fontId="2" fillId="0" borderId="13" xfId="0" applyFont="1" applyBorder="1"/>
    <xf numFmtId="0" fontId="2" fillId="0" borderId="14" xfId="0" applyFont="1" applyBorder="1"/>
    <xf numFmtId="0" fontId="7" fillId="7" borderId="26" xfId="0" applyFont="1" applyFill="1" applyBorder="1" applyAlignment="1">
      <alignment vertical="center" wrapText="1"/>
    </xf>
    <xf numFmtId="0" fontId="9" fillId="0" borderId="26" xfId="0" applyFont="1" applyBorder="1" applyAlignment="1">
      <alignment wrapText="1"/>
    </xf>
    <xf numFmtId="10" fontId="0" fillId="0" borderId="0" xfId="2" applyNumberFormat="1" applyFont="1"/>
    <xf numFmtId="10" fontId="0" fillId="0" borderId="18" xfId="2" applyNumberFormat="1" applyFont="1" applyBorder="1"/>
    <xf numFmtId="0" fontId="25" fillId="0" borderId="18" xfId="0" applyFont="1" applyBorder="1" applyAlignment="1">
      <alignment horizontal="center" vertical="top"/>
    </xf>
    <xf numFmtId="10" fontId="18" fillId="0" borderId="18" xfId="2" applyNumberFormat="1" applyFont="1" applyBorder="1"/>
    <xf numFmtId="4" fontId="0" fillId="0" borderId="18" xfId="0" applyNumberFormat="1" applyBorder="1"/>
    <xf numFmtId="4" fontId="0" fillId="0" borderId="0" xfId="0" applyNumberFormat="1"/>
  </cellXfs>
  <cellStyles count="3">
    <cellStyle name="Hyperlink" xfId="1" builtinId="8"/>
    <cellStyle name="Normal" xfId="0" builtinId="0"/>
    <cellStyle name="Percent" xfId="2" builtinId="5"/>
  </cellStyles>
  <dxfs count="11">
    <dxf>
      <numFmt numFmtId="4" formatCode="#,##0.00"/>
    </dxf>
    <dxf>
      <numFmt numFmtId="4" formatCode="#,##0.00"/>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1"/>
        <color theme="1"/>
        <name val="Arial"/>
        <scheme val="none"/>
      </font>
      <numFmt numFmtId="14" formatCode="0.00%"/>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border outline="0">
        <left style="thin">
          <color indexed="64"/>
        </left>
      </border>
    </dxf>
    <dxf>
      <fill>
        <patternFill patternType="solid">
          <fgColor theme="9"/>
          <bgColor theme="9"/>
        </patternFill>
      </fill>
    </dxf>
    <dxf>
      <fill>
        <patternFill patternType="solid">
          <fgColor rgb="FFFF0000"/>
          <bgColor rgb="FFFF0000"/>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tableStyle name="Aux-style" pivot="0" count="3" xr9:uid="{00000000-0011-0000-FFFF-FFFF00000000}">
      <tableStyleElement type="headerRow" dxfId="10"/>
      <tableStyleElement type="firstRowStripe" dxfId="9"/>
      <tableStyleElement type="second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Payoff Profile*</a:t>
            </a:r>
          </a:p>
        </c:rich>
      </c:tx>
      <c:overlay val="0"/>
    </c:title>
    <c:autoTitleDeleted val="0"/>
    <c:plotArea>
      <c:layout>
        <c:manualLayout>
          <c:layoutTarget val="inner"/>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1.4483999999999924</c:v>
                </c:pt>
                <c:pt idx="2">
                  <c:v>2.8968000000000131</c:v>
                </c:pt>
                <c:pt idx="3">
                  <c:v>4.3452000000000055</c:v>
                </c:pt>
                <c:pt idx="4">
                  <c:v>5.7935999999999979</c:v>
                </c:pt>
                <c:pt idx="5">
                  <c:v>7.2420000000000186</c:v>
                </c:pt>
                <c:pt idx="6">
                  <c:v>8.690400000000011</c:v>
                </c:pt>
                <c:pt idx="7">
                  <c:v>10.138800000000003</c:v>
                </c:pt>
                <c:pt idx="8">
                  <c:v>11.587199999999996</c:v>
                </c:pt>
                <c:pt idx="9">
                  <c:v>13.035599999999988</c:v>
                </c:pt>
                <c:pt idx="10">
                  <c:v>14.484000000000009</c:v>
                </c:pt>
                <c:pt idx="11">
                  <c:v>15.932400000000001</c:v>
                </c:pt>
                <c:pt idx="12">
                  <c:v>17.380799999999994</c:v>
                </c:pt>
                <c:pt idx="13">
                  <c:v>18.8292</c:v>
                </c:pt>
                <c:pt idx="14">
                  <c:v>20.277600000000007</c:v>
                </c:pt>
                <c:pt idx="15">
                  <c:v>21.725999999999999</c:v>
                </c:pt>
                <c:pt idx="16">
                  <c:v>23.174400000000006</c:v>
                </c:pt>
                <c:pt idx="17">
                  <c:v>24.622800000000012</c:v>
                </c:pt>
                <c:pt idx="18">
                  <c:v>26.071200000000005</c:v>
                </c:pt>
                <c:pt idx="19">
                  <c:v>27.519599999999997</c:v>
                </c:pt>
                <c:pt idx="20">
                  <c:v>28.967999999999989</c:v>
                </c:pt>
                <c:pt idx="21">
                  <c:v>30.416399999999996</c:v>
                </c:pt>
                <c:pt idx="22">
                  <c:v>31.864800000000002</c:v>
                </c:pt>
                <c:pt idx="23">
                  <c:v>33.313199999999995</c:v>
                </c:pt>
                <c:pt idx="24">
                  <c:v>34.761600000000001</c:v>
                </c:pt>
                <c:pt idx="25">
                  <c:v>36.210000000000008</c:v>
                </c:pt>
                <c:pt idx="26">
                  <c:v>37.6584</c:v>
                </c:pt>
                <c:pt idx="27">
                  <c:v>39.106800000000007</c:v>
                </c:pt>
                <c:pt idx="28">
                  <c:v>40.555199999999999</c:v>
                </c:pt>
                <c:pt idx="29">
                  <c:v>42.003600000000006</c:v>
                </c:pt>
                <c:pt idx="30">
                  <c:v>43.452000000000012</c:v>
                </c:pt>
                <c:pt idx="31">
                  <c:v>44.900400000000005</c:v>
                </c:pt>
                <c:pt idx="32">
                  <c:v>46.348799999999997</c:v>
                </c:pt>
                <c:pt idx="33">
                  <c:v>47.797199999999989</c:v>
                </c:pt>
                <c:pt idx="34">
                  <c:v>49.245599999999996</c:v>
                </c:pt>
                <c:pt idx="35">
                  <c:v>50.694000000000003</c:v>
                </c:pt>
                <c:pt idx="36">
                  <c:v>52.142399999999995</c:v>
                </c:pt>
                <c:pt idx="37">
                  <c:v>53.590800000000002</c:v>
                </c:pt>
                <c:pt idx="38">
                  <c:v>55.039200000000008</c:v>
                </c:pt>
                <c:pt idx="39">
                  <c:v>56.4876</c:v>
                </c:pt>
                <c:pt idx="40">
                  <c:v>57.936000000000007</c:v>
                </c:pt>
                <c:pt idx="41">
                  <c:v>59.384399999999999</c:v>
                </c:pt>
                <c:pt idx="42">
                  <c:v>60.832800000000006</c:v>
                </c:pt>
                <c:pt idx="43">
                  <c:v>62.281200000000013</c:v>
                </c:pt>
                <c:pt idx="44">
                  <c:v>63.729599999999991</c:v>
                </c:pt>
                <c:pt idx="45">
                  <c:v>65.177999999999997</c:v>
                </c:pt>
                <c:pt idx="46">
                  <c:v>66.62639999999999</c:v>
                </c:pt>
                <c:pt idx="47">
                  <c:v>68.074799999999996</c:v>
                </c:pt>
                <c:pt idx="48">
                  <c:v>69.523200000000003</c:v>
                </c:pt>
                <c:pt idx="49">
                  <c:v>70.971599999999995</c:v>
                </c:pt>
                <c:pt idx="50">
                  <c:v>72.42</c:v>
                </c:pt>
                <c:pt idx="51">
                  <c:v>73.868400000000008</c:v>
                </c:pt>
                <c:pt idx="52">
                  <c:v>75.316800000000001</c:v>
                </c:pt>
                <c:pt idx="53">
                  <c:v>76.765200000000007</c:v>
                </c:pt>
                <c:pt idx="54">
                  <c:v>78.2136</c:v>
                </c:pt>
                <c:pt idx="55">
                  <c:v>79.662000000000006</c:v>
                </c:pt>
                <c:pt idx="56">
                  <c:v>81.110399999999998</c:v>
                </c:pt>
                <c:pt idx="57">
                  <c:v>82.558800000000005</c:v>
                </c:pt>
                <c:pt idx="58">
                  <c:v>84.007200000000012</c:v>
                </c:pt>
                <c:pt idx="59">
                  <c:v>85.455600000000004</c:v>
                </c:pt>
                <c:pt idx="60">
                  <c:v>86.903999999999996</c:v>
                </c:pt>
                <c:pt idx="61">
                  <c:v>88.352400000000003</c:v>
                </c:pt>
                <c:pt idx="62">
                  <c:v>89.80080000000001</c:v>
                </c:pt>
                <c:pt idx="63">
                  <c:v>91.249200000000002</c:v>
                </c:pt>
                <c:pt idx="64">
                  <c:v>92.697599999999994</c:v>
                </c:pt>
                <c:pt idx="65">
                  <c:v>94.146000000000015</c:v>
                </c:pt>
                <c:pt idx="66">
                  <c:v>95.594400000000007</c:v>
                </c:pt>
                <c:pt idx="67">
                  <c:v>97.0428</c:v>
                </c:pt>
                <c:pt idx="68">
                  <c:v>98.491199999999992</c:v>
                </c:pt>
                <c:pt idx="69">
                  <c:v>99.939600000000013</c:v>
                </c:pt>
                <c:pt idx="70">
                  <c:v>101.38800000000001</c:v>
                </c:pt>
                <c:pt idx="71">
                  <c:v>102.8364</c:v>
                </c:pt>
                <c:pt idx="72">
                  <c:v>104.28479999999999</c:v>
                </c:pt>
                <c:pt idx="73">
                  <c:v>105.7332</c:v>
                </c:pt>
                <c:pt idx="74">
                  <c:v>107.1816</c:v>
                </c:pt>
                <c:pt idx="75">
                  <c:v>108.63</c:v>
                </c:pt>
                <c:pt idx="76">
                  <c:v>110.0784</c:v>
                </c:pt>
                <c:pt idx="77">
                  <c:v>111.52680000000001</c:v>
                </c:pt>
                <c:pt idx="78">
                  <c:v>112.9752</c:v>
                </c:pt>
                <c:pt idx="79">
                  <c:v>114.42360000000001</c:v>
                </c:pt>
                <c:pt idx="80">
                  <c:v>115.872</c:v>
                </c:pt>
                <c:pt idx="81">
                  <c:v>117.32040000000001</c:v>
                </c:pt>
                <c:pt idx="82">
                  <c:v>118.7688</c:v>
                </c:pt>
                <c:pt idx="83">
                  <c:v>120.21720000000001</c:v>
                </c:pt>
                <c:pt idx="84">
                  <c:v>121.6656</c:v>
                </c:pt>
                <c:pt idx="85">
                  <c:v>123.114</c:v>
                </c:pt>
                <c:pt idx="86">
                  <c:v>124.5624</c:v>
                </c:pt>
                <c:pt idx="87">
                  <c:v>126.0108</c:v>
                </c:pt>
                <c:pt idx="88">
                  <c:v>127.45920000000001</c:v>
                </c:pt>
                <c:pt idx="89">
                  <c:v>128.9076</c:v>
                </c:pt>
                <c:pt idx="90">
                  <c:v>130.35599999999999</c:v>
                </c:pt>
                <c:pt idx="91">
                  <c:v>131.80440000000002</c:v>
                </c:pt>
                <c:pt idx="92">
                  <c:v>133.25280000000001</c:v>
                </c:pt>
                <c:pt idx="93">
                  <c:v>134.7012</c:v>
                </c:pt>
                <c:pt idx="94">
                  <c:v>136.14959999999999</c:v>
                </c:pt>
                <c:pt idx="95">
                  <c:v>137.59800000000001</c:v>
                </c:pt>
                <c:pt idx="96">
                  <c:v>139.04640000000001</c:v>
                </c:pt>
                <c:pt idx="97">
                  <c:v>140.4948</c:v>
                </c:pt>
                <c:pt idx="98">
                  <c:v>141.94319999999999</c:v>
                </c:pt>
                <c:pt idx="99">
                  <c:v>143.39160000000001</c:v>
                </c:pt>
                <c:pt idx="100">
                  <c:v>144.84</c:v>
                </c:pt>
                <c:pt idx="101">
                  <c:v>146.2884</c:v>
                </c:pt>
                <c:pt idx="102">
                  <c:v>147.73680000000002</c:v>
                </c:pt>
                <c:pt idx="103">
                  <c:v>149.18520000000001</c:v>
                </c:pt>
                <c:pt idx="104">
                  <c:v>150.6336</c:v>
                </c:pt>
                <c:pt idx="105">
                  <c:v>152.08199999999999</c:v>
                </c:pt>
                <c:pt idx="106">
                  <c:v>153.53040000000001</c:v>
                </c:pt>
                <c:pt idx="107">
                  <c:v>154.97880000000001</c:v>
                </c:pt>
                <c:pt idx="108">
                  <c:v>156.4272</c:v>
                </c:pt>
                <c:pt idx="109">
                  <c:v>157.87559999999999</c:v>
                </c:pt>
                <c:pt idx="110">
                  <c:v>159.32400000000001</c:v>
                </c:pt>
                <c:pt idx="111">
                  <c:v>160.7724</c:v>
                </c:pt>
                <c:pt idx="112">
                  <c:v>162.2208</c:v>
                </c:pt>
                <c:pt idx="113">
                  <c:v>163.66919999999999</c:v>
                </c:pt>
                <c:pt idx="114">
                  <c:v>165.11760000000001</c:v>
                </c:pt>
                <c:pt idx="115">
                  <c:v>166.566</c:v>
                </c:pt>
                <c:pt idx="116">
                  <c:v>168.01439999999999</c:v>
                </c:pt>
                <c:pt idx="117">
                  <c:v>169.46280000000002</c:v>
                </c:pt>
                <c:pt idx="118">
                  <c:v>170.91120000000001</c:v>
                </c:pt>
                <c:pt idx="119">
                  <c:v>172.3596</c:v>
                </c:pt>
                <c:pt idx="120">
                  <c:v>173.80799999999999</c:v>
                </c:pt>
                <c:pt idx="121">
                  <c:v>175.25640000000001</c:v>
                </c:pt>
                <c:pt idx="122">
                  <c:v>176.70480000000001</c:v>
                </c:pt>
                <c:pt idx="123">
                  <c:v>178.1532</c:v>
                </c:pt>
                <c:pt idx="124">
                  <c:v>179.60160000000002</c:v>
                </c:pt>
                <c:pt idx="125">
                  <c:v>181.05</c:v>
                </c:pt>
                <c:pt idx="126">
                  <c:v>182.4984</c:v>
                </c:pt>
                <c:pt idx="127">
                  <c:v>183.9468</c:v>
                </c:pt>
                <c:pt idx="128">
                  <c:v>185.39520000000002</c:v>
                </c:pt>
                <c:pt idx="129">
                  <c:v>186.84360000000001</c:v>
                </c:pt>
                <c:pt idx="130">
                  <c:v>188.292</c:v>
                </c:pt>
                <c:pt idx="131">
                  <c:v>189.74039999999999</c:v>
                </c:pt>
                <c:pt idx="132">
                  <c:v>191.18880000000001</c:v>
                </c:pt>
                <c:pt idx="133">
                  <c:v>192.63720000000001</c:v>
                </c:pt>
                <c:pt idx="134">
                  <c:v>194.0856</c:v>
                </c:pt>
                <c:pt idx="135">
                  <c:v>195.53399999999999</c:v>
                </c:pt>
                <c:pt idx="136">
                  <c:v>196.98240000000001</c:v>
                </c:pt>
                <c:pt idx="137">
                  <c:v>198.4308</c:v>
                </c:pt>
                <c:pt idx="138">
                  <c:v>199.8792</c:v>
                </c:pt>
                <c:pt idx="139">
                  <c:v>201.32760000000002</c:v>
                </c:pt>
                <c:pt idx="140">
                  <c:v>202.77600000000001</c:v>
                </c:pt>
                <c:pt idx="141">
                  <c:v>204.2244</c:v>
                </c:pt>
                <c:pt idx="142">
                  <c:v>205.6728</c:v>
                </c:pt>
                <c:pt idx="143">
                  <c:v>207.12119999999999</c:v>
                </c:pt>
                <c:pt idx="144">
                  <c:v>208.56960000000001</c:v>
                </c:pt>
                <c:pt idx="145">
                  <c:v>210.018</c:v>
                </c:pt>
                <c:pt idx="146">
                  <c:v>211.46640000000002</c:v>
                </c:pt>
                <c:pt idx="147">
                  <c:v>212.91480000000001</c:v>
                </c:pt>
                <c:pt idx="148">
                  <c:v>214.36320000000001</c:v>
                </c:pt>
                <c:pt idx="149">
                  <c:v>215.8116</c:v>
                </c:pt>
                <c:pt idx="150">
                  <c:v>217.26</c:v>
                </c:pt>
                <c:pt idx="151">
                  <c:v>218.70840000000001</c:v>
                </c:pt>
                <c:pt idx="152">
                  <c:v>220.1568</c:v>
                </c:pt>
                <c:pt idx="153">
                  <c:v>221.60520000000002</c:v>
                </c:pt>
                <c:pt idx="154">
                  <c:v>223.05360000000002</c:v>
                </c:pt>
                <c:pt idx="155">
                  <c:v>224.50200000000001</c:v>
                </c:pt>
                <c:pt idx="156">
                  <c:v>225.9504</c:v>
                </c:pt>
                <c:pt idx="157">
                  <c:v>227.39879999999999</c:v>
                </c:pt>
                <c:pt idx="158">
                  <c:v>228.84719999999999</c:v>
                </c:pt>
                <c:pt idx="159">
                  <c:v>230.29560000000001</c:v>
                </c:pt>
                <c:pt idx="160">
                  <c:v>231.744</c:v>
                </c:pt>
                <c:pt idx="161">
                  <c:v>233.19240000000002</c:v>
                </c:pt>
                <c:pt idx="162">
                  <c:v>234.64080000000001</c:v>
                </c:pt>
                <c:pt idx="163">
                  <c:v>236.08920000000001</c:v>
                </c:pt>
                <c:pt idx="164">
                  <c:v>237.5376</c:v>
                </c:pt>
                <c:pt idx="165">
                  <c:v>238.98599999999999</c:v>
                </c:pt>
                <c:pt idx="166">
                  <c:v>240.43440000000001</c:v>
                </c:pt>
                <c:pt idx="167">
                  <c:v>241.88280000000003</c:v>
                </c:pt>
                <c:pt idx="168">
                  <c:v>243.33120000000002</c:v>
                </c:pt>
                <c:pt idx="169">
                  <c:v>244.77960000000002</c:v>
                </c:pt>
                <c:pt idx="170">
                  <c:v>246.22800000000001</c:v>
                </c:pt>
                <c:pt idx="171">
                  <c:v>247.6764</c:v>
                </c:pt>
                <c:pt idx="172">
                  <c:v>249.12479999999999</c:v>
                </c:pt>
                <c:pt idx="173">
                  <c:v>250.57319999999999</c:v>
                </c:pt>
                <c:pt idx="174">
                  <c:v>252.02160000000001</c:v>
                </c:pt>
                <c:pt idx="175">
                  <c:v>253.47</c:v>
                </c:pt>
                <c:pt idx="176">
                  <c:v>254.91840000000002</c:v>
                </c:pt>
                <c:pt idx="177">
                  <c:v>256.36680000000001</c:v>
                </c:pt>
                <c:pt idx="178">
                  <c:v>257.8152</c:v>
                </c:pt>
                <c:pt idx="179">
                  <c:v>259.2636</c:v>
                </c:pt>
                <c:pt idx="180">
                  <c:v>260.71199999999999</c:v>
                </c:pt>
                <c:pt idx="181">
                  <c:v>262.16039999999998</c:v>
                </c:pt>
                <c:pt idx="182">
                  <c:v>263.60879999999997</c:v>
                </c:pt>
                <c:pt idx="183">
                  <c:v>265.05719999999997</c:v>
                </c:pt>
                <c:pt idx="184">
                  <c:v>266.50560000000002</c:v>
                </c:pt>
                <c:pt idx="185">
                  <c:v>267.95400000000001</c:v>
                </c:pt>
                <c:pt idx="186">
                  <c:v>269.4024</c:v>
                </c:pt>
                <c:pt idx="187">
                  <c:v>270.85079999999999</c:v>
                </c:pt>
                <c:pt idx="188">
                  <c:v>272.29920000000004</c:v>
                </c:pt>
                <c:pt idx="189">
                  <c:v>273.74760000000003</c:v>
                </c:pt>
                <c:pt idx="190">
                  <c:v>275.19600000000003</c:v>
                </c:pt>
                <c:pt idx="191">
                  <c:v>276.64440000000002</c:v>
                </c:pt>
                <c:pt idx="192">
                  <c:v>278.09280000000001</c:v>
                </c:pt>
                <c:pt idx="193">
                  <c:v>279.5412</c:v>
                </c:pt>
                <c:pt idx="194">
                  <c:v>280.9896</c:v>
                </c:pt>
                <c:pt idx="195">
                  <c:v>282.43799999999999</c:v>
                </c:pt>
                <c:pt idx="196">
                  <c:v>283.88639999999998</c:v>
                </c:pt>
                <c:pt idx="197">
                  <c:v>285.33479999999997</c:v>
                </c:pt>
                <c:pt idx="198">
                  <c:v>286.78319999999997</c:v>
                </c:pt>
                <c:pt idx="199">
                  <c:v>288.23160000000001</c:v>
                </c:pt>
                <c:pt idx="200">
                  <c:v>289.68</c:v>
                </c:pt>
              </c:numCache>
            </c:numRef>
          </c:cat>
          <c:val>
            <c:numRef>
              <c:f>Aux!$G$3:$G$203</c:f>
              <c:numCache>
                <c:formatCode>_-[$$-409]* #,##0.00_ ;_-[$$-409]* \-#,##0.00\ ;_-[$$-409]* "-"??_ ;_-@_ </c:formatCode>
                <c:ptCount val="201"/>
                <c:pt idx="0">
                  <c:v>-1.4484000000000001</c:v>
                </c:pt>
                <c:pt idx="1">
                  <c:v>-1.4484000000000001</c:v>
                </c:pt>
                <c:pt idx="2">
                  <c:v>-1.4484000000000001</c:v>
                </c:pt>
                <c:pt idx="3">
                  <c:v>-1.4484000000000001</c:v>
                </c:pt>
                <c:pt idx="4">
                  <c:v>-1.4484000000000001</c:v>
                </c:pt>
                <c:pt idx="5">
                  <c:v>-1.4484000000000001</c:v>
                </c:pt>
                <c:pt idx="6">
                  <c:v>-1.4484000000000001</c:v>
                </c:pt>
                <c:pt idx="7">
                  <c:v>-1.4484000000000001</c:v>
                </c:pt>
                <c:pt idx="8">
                  <c:v>-1.4484000000000001</c:v>
                </c:pt>
                <c:pt idx="9">
                  <c:v>-1.4484000000000001</c:v>
                </c:pt>
                <c:pt idx="10">
                  <c:v>-1.4484000000000001</c:v>
                </c:pt>
                <c:pt idx="11">
                  <c:v>-1.4484000000000001</c:v>
                </c:pt>
                <c:pt idx="12">
                  <c:v>-1.4484000000000001</c:v>
                </c:pt>
                <c:pt idx="13">
                  <c:v>-1.4484000000000001</c:v>
                </c:pt>
                <c:pt idx="14">
                  <c:v>-1.4484000000000001</c:v>
                </c:pt>
                <c:pt idx="15">
                  <c:v>-1.4484000000000001</c:v>
                </c:pt>
                <c:pt idx="16">
                  <c:v>-1.4484000000000001</c:v>
                </c:pt>
                <c:pt idx="17">
                  <c:v>-1.4484000000000001</c:v>
                </c:pt>
                <c:pt idx="18">
                  <c:v>-1.4484000000000001</c:v>
                </c:pt>
                <c:pt idx="19">
                  <c:v>-1.4484000000000001</c:v>
                </c:pt>
                <c:pt idx="20">
                  <c:v>-1.4484000000000001</c:v>
                </c:pt>
                <c:pt idx="21">
                  <c:v>-1.4484000000000001</c:v>
                </c:pt>
                <c:pt idx="22">
                  <c:v>-1.4484000000000001</c:v>
                </c:pt>
                <c:pt idx="23">
                  <c:v>-1.4484000000000001</c:v>
                </c:pt>
                <c:pt idx="24">
                  <c:v>-1.4484000000000001</c:v>
                </c:pt>
                <c:pt idx="25">
                  <c:v>-1.4484000000000001</c:v>
                </c:pt>
                <c:pt idx="26">
                  <c:v>-1.4484000000000001</c:v>
                </c:pt>
                <c:pt idx="27">
                  <c:v>-1.4484000000000001</c:v>
                </c:pt>
                <c:pt idx="28">
                  <c:v>-1.4484000000000001</c:v>
                </c:pt>
                <c:pt idx="29">
                  <c:v>-1.4484000000000001</c:v>
                </c:pt>
                <c:pt idx="30">
                  <c:v>-1.4484000000000001</c:v>
                </c:pt>
                <c:pt idx="31">
                  <c:v>-1.4484000000000001</c:v>
                </c:pt>
                <c:pt idx="32">
                  <c:v>-1.4484000000000001</c:v>
                </c:pt>
                <c:pt idx="33">
                  <c:v>-1.4484000000000001</c:v>
                </c:pt>
                <c:pt idx="34">
                  <c:v>-1.4484000000000001</c:v>
                </c:pt>
                <c:pt idx="35">
                  <c:v>-1.4484000000000001</c:v>
                </c:pt>
                <c:pt idx="36">
                  <c:v>-1.4484000000000001</c:v>
                </c:pt>
                <c:pt idx="37">
                  <c:v>-1.4484000000000001</c:v>
                </c:pt>
                <c:pt idx="38">
                  <c:v>-1.4484000000000001</c:v>
                </c:pt>
                <c:pt idx="39">
                  <c:v>-1.4484000000000001</c:v>
                </c:pt>
                <c:pt idx="40">
                  <c:v>-1.4484000000000001</c:v>
                </c:pt>
                <c:pt idx="41">
                  <c:v>-1.4484000000000001</c:v>
                </c:pt>
                <c:pt idx="42">
                  <c:v>-1.4484000000000001</c:v>
                </c:pt>
                <c:pt idx="43">
                  <c:v>-1.4484000000000001</c:v>
                </c:pt>
                <c:pt idx="44">
                  <c:v>-1.4484000000000001</c:v>
                </c:pt>
                <c:pt idx="45">
                  <c:v>-1.4484000000000001</c:v>
                </c:pt>
                <c:pt idx="46">
                  <c:v>-1.4484000000000001</c:v>
                </c:pt>
                <c:pt idx="47">
                  <c:v>-1.4484000000000001</c:v>
                </c:pt>
                <c:pt idx="48">
                  <c:v>-1.4484000000000001</c:v>
                </c:pt>
                <c:pt idx="49">
                  <c:v>-1.4484000000000001</c:v>
                </c:pt>
                <c:pt idx="50">
                  <c:v>-1.4484000000000001</c:v>
                </c:pt>
                <c:pt idx="51">
                  <c:v>-1.4484000000000001</c:v>
                </c:pt>
                <c:pt idx="52">
                  <c:v>-1.4484000000000001</c:v>
                </c:pt>
                <c:pt idx="53">
                  <c:v>-1.4484000000000001</c:v>
                </c:pt>
                <c:pt idx="54">
                  <c:v>-1.4484000000000001</c:v>
                </c:pt>
                <c:pt idx="55">
                  <c:v>-1.4484000000000001</c:v>
                </c:pt>
                <c:pt idx="56">
                  <c:v>-1.4484000000000001</c:v>
                </c:pt>
                <c:pt idx="57">
                  <c:v>-1.4484000000000001</c:v>
                </c:pt>
                <c:pt idx="58">
                  <c:v>-1.4484000000000001</c:v>
                </c:pt>
                <c:pt idx="59">
                  <c:v>-1.4484000000000001</c:v>
                </c:pt>
                <c:pt idx="60">
                  <c:v>-1.4484000000000001</c:v>
                </c:pt>
                <c:pt idx="61">
                  <c:v>-1.4484000000000001</c:v>
                </c:pt>
                <c:pt idx="62">
                  <c:v>-1.4484000000000001</c:v>
                </c:pt>
                <c:pt idx="63">
                  <c:v>-1.4484000000000001</c:v>
                </c:pt>
                <c:pt idx="64">
                  <c:v>-1.4484000000000001</c:v>
                </c:pt>
                <c:pt idx="65">
                  <c:v>-1.4484000000000001</c:v>
                </c:pt>
                <c:pt idx="66">
                  <c:v>-1.4484000000000001</c:v>
                </c:pt>
                <c:pt idx="67">
                  <c:v>-1.4484000000000001</c:v>
                </c:pt>
                <c:pt idx="68">
                  <c:v>-1.4484000000000001</c:v>
                </c:pt>
                <c:pt idx="69">
                  <c:v>-1.4484000000000001</c:v>
                </c:pt>
                <c:pt idx="70">
                  <c:v>-1.4484000000000001</c:v>
                </c:pt>
                <c:pt idx="71">
                  <c:v>-1.4484000000000001</c:v>
                </c:pt>
                <c:pt idx="72">
                  <c:v>-1.4484000000000001</c:v>
                </c:pt>
                <c:pt idx="73">
                  <c:v>-1.4484000000000001</c:v>
                </c:pt>
                <c:pt idx="74">
                  <c:v>-1.4484000000000001</c:v>
                </c:pt>
                <c:pt idx="75">
                  <c:v>-1.4484000000000001</c:v>
                </c:pt>
                <c:pt idx="76">
                  <c:v>-1.4484000000000001</c:v>
                </c:pt>
                <c:pt idx="77">
                  <c:v>-1.4484000000000001</c:v>
                </c:pt>
                <c:pt idx="78">
                  <c:v>-1.4484000000000001</c:v>
                </c:pt>
                <c:pt idx="79">
                  <c:v>-1.4484000000000001</c:v>
                </c:pt>
                <c:pt idx="80">
                  <c:v>-1.4484000000000001</c:v>
                </c:pt>
                <c:pt idx="81">
                  <c:v>-1.4484000000000001</c:v>
                </c:pt>
                <c:pt idx="82">
                  <c:v>-1.4484000000000001</c:v>
                </c:pt>
                <c:pt idx="83">
                  <c:v>-1.4484000000000001</c:v>
                </c:pt>
                <c:pt idx="84">
                  <c:v>-1.4484000000000001</c:v>
                </c:pt>
                <c:pt idx="85">
                  <c:v>-1.4484000000000001</c:v>
                </c:pt>
                <c:pt idx="86">
                  <c:v>-1.4484000000000001</c:v>
                </c:pt>
                <c:pt idx="87">
                  <c:v>-1.4484000000000001</c:v>
                </c:pt>
                <c:pt idx="88">
                  <c:v>-1.4484000000000001</c:v>
                </c:pt>
                <c:pt idx="89">
                  <c:v>-1.4484000000000001</c:v>
                </c:pt>
                <c:pt idx="90">
                  <c:v>-1.4484000000000001</c:v>
                </c:pt>
                <c:pt idx="91">
                  <c:v>-1.4484000000000001</c:v>
                </c:pt>
                <c:pt idx="92">
                  <c:v>-1.4484000000000001</c:v>
                </c:pt>
                <c:pt idx="93">
                  <c:v>-1.4484000000000001</c:v>
                </c:pt>
                <c:pt idx="94">
                  <c:v>-1.4484000000000001</c:v>
                </c:pt>
                <c:pt idx="95">
                  <c:v>-1.4484000000000001</c:v>
                </c:pt>
                <c:pt idx="96">
                  <c:v>-1.4484000000000001</c:v>
                </c:pt>
                <c:pt idx="97">
                  <c:v>-1.4484000000000001</c:v>
                </c:pt>
                <c:pt idx="98">
                  <c:v>-1.4484000000000001</c:v>
                </c:pt>
                <c:pt idx="99">
                  <c:v>-1.4484000000000001</c:v>
                </c:pt>
                <c:pt idx="100">
                  <c:v>-1.4484000000000001</c:v>
                </c:pt>
                <c:pt idx="101">
                  <c:v>-7.7715611723760958E-15</c:v>
                </c:pt>
                <c:pt idx="102">
                  <c:v>1.448400000000013</c:v>
                </c:pt>
                <c:pt idx="103">
                  <c:v>2.8968000000000051</c:v>
                </c:pt>
                <c:pt idx="104">
                  <c:v>4.3451999999999975</c:v>
                </c:pt>
                <c:pt idx="105">
                  <c:v>5.7935999999999899</c:v>
                </c:pt>
                <c:pt idx="106" formatCode="General">
                  <c:v>7.2420000000000107</c:v>
                </c:pt>
                <c:pt idx="107" formatCode="General">
                  <c:v>8.6904000000000039</c:v>
                </c:pt>
                <c:pt idx="108" formatCode="General">
                  <c:v>10.138799999999996</c:v>
                </c:pt>
                <c:pt idx="109" formatCode="General">
                  <c:v>11.587199999999989</c:v>
                </c:pt>
                <c:pt idx="110" formatCode="General">
                  <c:v>13.035600000000009</c:v>
                </c:pt>
                <c:pt idx="111" formatCode="General">
                  <c:v>14.484000000000002</c:v>
                </c:pt>
                <c:pt idx="112" formatCode="General">
                  <c:v>15.932399999999994</c:v>
                </c:pt>
                <c:pt idx="113" formatCode="General">
                  <c:v>17.380799999999986</c:v>
                </c:pt>
                <c:pt idx="114" formatCode="General">
                  <c:v>18.829200000000007</c:v>
                </c:pt>
                <c:pt idx="115" formatCode="General">
                  <c:v>20.2776</c:v>
                </c:pt>
                <c:pt idx="116" formatCode="General">
                  <c:v>21.725999999999992</c:v>
                </c:pt>
                <c:pt idx="117" formatCode="General">
                  <c:v>23.174400000000013</c:v>
                </c:pt>
                <c:pt idx="118" formatCode="General">
                  <c:v>24.622800000000005</c:v>
                </c:pt>
                <c:pt idx="119" formatCode="General">
                  <c:v>26.071199999999997</c:v>
                </c:pt>
                <c:pt idx="120" formatCode="General">
                  <c:v>27.51959999999999</c:v>
                </c:pt>
                <c:pt idx="121" formatCode="General">
                  <c:v>28.968000000000011</c:v>
                </c:pt>
                <c:pt idx="122" formatCode="General">
                  <c:v>30.416400000000003</c:v>
                </c:pt>
                <c:pt idx="123" formatCode="General">
                  <c:v>31.864799999999995</c:v>
                </c:pt>
                <c:pt idx="124" formatCode="General">
                  <c:v>33.313200000000016</c:v>
                </c:pt>
                <c:pt idx="125" formatCode="General">
                  <c:v>34.761600000000008</c:v>
                </c:pt>
                <c:pt idx="126" formatCode="General">
                  <c:v>36.21</c:v>
                </c:pt>
                <c:pt idx="127" formatCode="General">
                  <c:v>37.658399999999993</c:v>
                </c:pt>
                <c:pt idx="128" formatCode="General">
                  <c:v>39.106800000000014</c:v>
                </c:pt>
                <c:pt idx="129" formatCode="General">
                  <c:v>40.555200000000006</c:v>
                </c:pt>
                <c:pt idx="130" formatCode="General">
                  <c:v>42.003599999999999</c:v>
                </c:pt>
                <c:pt idx="131" formatCode="General">
                  <c:v>43.451999999999991</c:v>
                </c:pt>
                <c:pt idx="132" formatCode="General">
                  <c:v>44.900400000000012</c:v>
                </c:pt>
                <c:pt idx="133" formatCode="General">
                  <c:v>46.348800000000004</c:v>
                </c:pt>
                <c:pt idx="134" formatCode="General">
                  <c:v>47.797199999999997</c:v>
                </c:pt>
                <c:pt idx="135" formatCode="General">
                  <c:v>49.245599999999989</c:v>
                </c:pt>
                <c:pt idx="136" formatCode="General">
                  <c:v>50.69400000000001</c:v>
                </c:pt>
                <c:pt idx="137" formatCode="General">
                  <c:v>52.142400000000002</c:v>
                </c:pt>
                <c:pt idx="138" formatCode="General">
                  <c:v>53.590799999999994</c:v>
                </c:pt>
                <c:pt idx="139" formatCode="General">
                  <c:v>55.039200000000015</c:v>
                </c:pt>
                <c:pt idx="140" formatCode="General">
                  <c:v>56.487600000000008</c:v>
                </c:pt>
                <c:pt idx="141" formatCode="General">
                  <c:v>57.936</c:v>
                </c:pt>
                <c:pt idx="142" formatCode="General">
                  <c:v>59.384399999999992</c:v>
                </c:pt>
                <c:pt idx="143" formatCode="General">
                  <c:v>60.832799999999985</c:v>
                </c:pt>
                <c:pt idx="144" formatCode="General">
                  <c:v>62.281200000000005</c:v>
                </c:pt>
                <c:pt idx="145" formatCode="General">
                  <c:v>63.729599999999998</c:v>
                </c:pt>
                <c:pt idx="146" formatCode="General">
                  <c:v>65.178000000000011</c:v>
                </c:pt>
                <c:pt idx="147" formatCode="General">
                  <c:v>66.626400000000004</c:v>
                </c:pt>
                <c:pt idx="148" formatCode="General">
                  <c:v>68.074799999999996</c:v>
                </c:pt>
                <c:pt idx="149" formatCode="General">
                  <c:v>69.523199999999989</c:v>
                </c:pt>
                <c:pt idx="150" formatCode="General">
                  <c:v>70.971599999999981</c:v>
                </c:pt>
                <c:pt idx="151" formatCode="General">
                  <c:v>72.42</c:v>
                </c:pt>
                <c:pt idx="152" formatCode="General">
                  <c:v>73.868399999999994</c:v>
                </c:pt>
                <c:pt idx="153" formatCode="General">
                  <c:v>75.316800000000015</c:v>
                </c:pt>
                <c:pt idx="154" formatCode="General">
                  <c:v>76.765200000000007</c:v>
                </c:pt>
                <c:pt idx="155" formatCode="General">
                  <c:v>78.2136</c:v>
                </c:pt>
                <c:pt idx="156" formatCode="General">
                  <c:v>79.661999999999992</c:v>
                </c:pt>
                <c:pt idx="157" formatCode="General">
                  <c:v>81.110399999999984</c:v>
                </c:pt>
                <c:pt idx="158" formatCode="General">
                  <c:v>82.558799999999977</c:v>
                </c:pt>
                <c:pt idx="159" formatCode="General">
                  <c:v>84.007199999999997</c:v>
                </c:pt>
                <c:pt idx="160" formatCode="General">
                  <c:v>85.45559999999999</c:v>
                </c:pt>
                <c:pt idx="161" formatCode="General">
                  <c:v>86.904000000000011</c:v>
                </c:pt>
                <c:pt idx="162" formatCode="General">
                  <c:v>88.352400000000003</c:v>
                </c:pt>
                <c:pt idx="163" formatCode="General">
                  <c:v>89.800799999999995</c:v>
                </c:pt>
                <c:pt idx="164" formatCode="General">
                  <c:v>91.249199999999988</c:v>
                </c:pt>
                <c:pt idx="165" formatCode="General">
                  <c:v>92.69759999999998</c:v>
                </c:pt>
                <c:pt idx="166" formatCode="General">
                  <c:v>94.146000000000001</c:v>
                </c:pt>
                <c:pt idx="167" formatCode="General">
                  <c:v>95.594400000000022</c:v>
                </c:pt>
                <c:pt idx="168" formatCode="General">
                  <c:v>97.042800000000014</c:v>
                </c:pt>
                <c:pt idx="169" formatCode="General">
                  <c:v>98.491200000000006</c:v>
                </c:pt>
                <c:pt idx="170" formatCode="General">
                  <c:v>99.939599999999999</c:v>
                </c:pt>
                <c:pt idx="171" formatCode="General">
                  <c:v>101.38799999999999</c:v>
                </c:pt>
                <c:pt idx="172" formatCode="General">
                  <c:v>102.83639999999998</c:v>
                </c:pt>
                <c:pt idx="173" formatCode="General">
                  <c:v>104.28479999999998</c:v>
                </c:pt>
                <c:pt idx="174" formatCode="General">
                  <c:v>105.7332</c:v>
                </c:pt>
                <c:pt idx="175" formatCode="General">
                  <c:v>107.18159999999999</c:v>
                </c:pt>
                <c:pt idx="176" formatCode="General">
                  <c:v>108.63000000000001</c:v>
                </c:pt>
                <c:pt idx="177" formatCode="General">
                  <c:v>110.0784</c:v>
                </c:pt>
                <c:pt idx="178" formatCode="General">
                  <c:v>111.52679999999999</c:v>
                </c:pt>
                <c:pt idx="179" formatCode="General">
                  <c:v>112.97519999999999</c:v>
                </c:pt>
                <c:pt idx="180" formatCode="General">
                  <c:v>114.42359999999998</c:v>
                </c:pt>
                <c:pt idx="181" formatCode="General">
                  <c:v>115.87199999999997</c:v>
                </c:pt>
                <c:pt idx="182" formatCode="General">
                  <c:v>117.32039999999996</c:v>
                </c:pt>
                <c:pt idx="183" formatCode="General">
                  <c:v>118.76879999999996</c:v>
                </c:pt>
                <c:pt idx="184" formatCode="General">
                  <c:v>120.21720000000001</c:v>
                </c:pt>
                <c:pt idx="185" formatCode="General">
                  <c:v>121.6656</c:v>
                </c:pt>
                <c:pt idx="186" formatCode="General">
                  <c:v>123.11399999999999</c:v>
                </c:pt>
                <c:pt idx="187" formatCode="General">
                  <c:v>124.56239999999998</c:v>
                </c:pt>
                <c:pt idx="188" formatCode="General">
                  <c:v>126.01080000000003</c:v>
                </c:pt>
                <c:pt idx="189" formatCode="General">
                  <c:v>127.45920000000002</c:v>
                </c:pt>
                <c:pt idx="190" formatCode="General">
                  <c:v>128.90760000000003</c:v>
                </c:pt>
                <c:pt idx="191" formatCode="General">
                  <c:v>130.35600000000002</c:v>
                </c:pt>
                <c:pt idx="192" formatCode="General">
                  <c:v>131.80440000000002</c:v>
                </c:pt>
                <c:pt idx="193" formatCode="General">
                  <c:v>133.25280000000001</c:v>
                </c:pt>
                <c:pt idx="194" formatCode="General">
                  <c:v>134.7012</c:v>
                </c:pt>
                <c:pt idx="195" formatCode="General">
                  <c:v>136.14959999999999</c:v>
                </c:pt>
                <c:pt idx="196" formatCode="General">
                  <c:v>137.59799999999998</c:v>
                </c:pt>
                <c:pt idx="197" formatCode="General">
                  <c:v>139.04639999999998</c:v>
                </c:pt>
                <c:pt idx="198" formatCode="General">
                  <c:v>140.49479999999997</c:v>
                </c:pt>
                <c:pt idx="199" formatCode="General">
                  <c:v>141.94320000000002</c:v>
                </c:pt>
                <c:pt idx="200" formatCode="General">
                  <c:v>143.39160000000001</c:v>
                </c:pt>
              </c:numCache>
            </c:numRef>
          </c:val>
          <c:smooth val="0"/>
          <c:extLst>
            <c:ext xmlns:c16="http://schemas.microsoft.com/office/drawing/2014/chart" uri="{C3380CC4-5D6E-409C-BE32-E72D297353CC}">
              <c16:uniqueId val="{00000000-172C-7241-92F8-D338927810EF}"/>
            </c:ext>
          </c:extLst>
        </c:ser>
        <c:dLbls>
          <c:showLegendKey val="0"/>
          <c:showVal val="0"/>
          <c:showCatName val="0"/>
          <c:showSerName val="0"/>
          <c:showPercent val="0"/>
          <c:showBubbleSize val="0"/>
        </c:dLbls>
        <c:smooth val="0"/>
        <c:axId val="1664502038"/>
        <c:axId val="1084536146"/>
      </c:lineChart>
      <c:catAx>
        <c:axId val="1664502038"/>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84536146"/>
        <c:crosses val="autoZero"/>
        <c:auto val="1"/>
        <c:lblAlgn val="ctr"/>
        <c:lblOffset val="100"/>
        <c:noMultiLvlLbl val="1"/>
      </c:catAx>
      <c:valAx>
        <c:axId val="1084536146"/>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664502038"/>
        <c:crosses val="autoZero"/>
        <c:crossBetween val="between"/>
      </c:valAx>
      <c:spPr>
        <a:noFill/>
        <a:ln w="19050">
          <a:solidFill>
            <a:schemeClr val="tx1"/>
          </a:solidFill>
        </a:ln>
      </c:spPr>
    </c:plotArea>
    <c:plotVisOnly val="1"/>
    <c:dispBlanksAs val="zero"/>
    <c:showDLblsOverMax val="1"/>
  </c:chart>
  <c:spPr>
    <a:noFill/>
    <a:ln>
      <a:noFill/>
    </a:ln>
  </c:spPr>
  <c:txPr>
    <a:bodyPr/>
    <a:lstStyle/>
    <a:p>
      <a:pPr>
        <a:defRPr sz="1400"/>
      </a:pPr>
      <a:endParaRPr lang="en-BR"/>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361950</xdr:colOff>
      <xdr:row>6</xdr:row>
      <xdr:rowOff>152400</xdr:rowOff>
    </xdr:from>
    <xdr:ext cx="266700" cy="276225"/>
    <xdr:pic>
      <xdr:nvPicPr>
        <xdr:cNvPr id="3" name="image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0</xdr:col>
          <xdr:colOff>215900</xdr:colOff>
          <xdr:row>21</xdr:row>
          <xdr:rowOff>88900</xdr:rowOff>
        </xdr:from>
        <xdr:to>
          <xdr:col>3</xdr:col>
          <xdr:colOff>50800</xdr:colOff>
          <xdr:row>24</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Inputs Sheet</a:t>
              </a:r>
            </a:p>
          </xdr:txBody>
        </xdr:sp>
        <xdr:clientData fPrintsWithSheet="0"/>
      </xdr:twoCellAnchor>
    </mc:Choice>
    <mc:Fallback/>
  </mc:AlternateContent>
  <xdr:twoCellAnchor>
    <xdr:from>
      <xdr:col>3</xdr:col>
      <xdr:colOff>480060</xdr:colOff>
      <xdr:row>12</xdr:row>
      <xdr:rowOff>144780</xdr:rowOff>
    </xdr:from>
    <xdr:to>
      <xdr:col>23</xdr:col>
      <xdr:colOff>114300</xdr:colOff>
      <xdr:row>15</xdr:row>
      <xdr:rowOff>106680</xdr:rowOff>
    </xdr:to>
    <xdr:sp macro="" textlink="">
      <xdr:nvSpPr>
        <xdr:cNvPr id="4" name="ZoneTexte 3">
          <a:extLst>
            <a:ext uri="{FF2B5EF4-FFF2-40B4-BE49-F238E27FC236}">
              <a16:creationId xmlns:a16="http://schemas.microsoft.com/office/drawing/2014/main" id="{00000000-0008-0000-0000-000004000000}"/>
            </a:ext>
          </a:extLst>
        </xdr:cNvPr>
        <xdr:cNvSpPr txBox="1"/>
      </xdr:nvSpPr>
      <xdr:spPr>
        <a:xfrm>
          <a:off x="2240280" y="2461260"/>
          <a:ext cx="1136904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i="1"/>
            <a:t>In order to calculate the option's price, you must input the option's caractheristics in the sheet named "Inputs", this one will automatically connect for both Binomial and Black &amp; Scholes models.</a:t>
          </a:r>
        </a:p>
        <a:p>
          <a:r>
            <a:rPr lang="es-ES" sz="1100" b="1" i="1"/>
            <a:t>After inserting the option data in the Inputs, you must press the buttons linked to each model to perform the option pricing automatically.</a:t>
          </a:r>
        </a:p>
        <a:p>
          <a:r>
            <a:rPr lang="es-ES" sz="1100" b="1" i="1"/>
            <a:t>Buttons are also included to switch between files without having to manually to it.</a:t>
          </a:r>
        </a:p>
      </xdr:txBody>
    </xdr:sp>
    <xdr:clientData/>
  </xdr:twoCellAnchor>
  <xdr:twoCellAnchor>
    <xdr:from>
      <xdr:col>4</xdr:col>
      <xdr:colOff>342900</xdr:colOff>
      <xdr:row>23</xdr:row>
      <xdr:rowOff>137160</xdr:rowOff>
    </xdr:from>
    <xdr:to>
      <xdr:col>7</xdr:col>
      <xdr:colOff>548640</xdr:colOff>
      <xdr:row>25</xdr:row>
      <xdr:rowOff>152400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2689860" y="4831080"/>
          <a:ext cx="1965960" cy="4038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500" b="1" i="0"/>
            <a:t>MEMENTO</a:t>
          </a:r>
        </a:p>
      </xdr:txBody>
    </xdr:sp>
    <xdr:clientData/>
  </xdr:twoCellAnchor>
  <xdr:twoCellAnchor>
    <xdr:from>
      <xdr:col>7</xdr:col>
      <xdr:colOff>274320</xdr:colOff>
      <xdr:row>16</xdr:row>
      <xdr:rowOff>60960</xdr:rowOff>
    </xdr:from>
    <xdr:to>
      <xdr:col>23</xdr:col>
      <xdr:colOff>99060</xdr:colOff>
      <xdr:row>35</xdr:row>
      <xdr:rowOff>68580</xdr:rowOff>
    </xdr:to>
    <xdr:sp macro="" textlink="">
      <xdr:nvSpPr>
        <xdr:cNvPr id="5" name="ZoneTexte 4">
          <a:extLst>
            <a:ext uri="{FF2B5EF4-FFF2-40B4-BE49-F238E27FC236}">
              <a16:creationId xmlns:a16="http://schemas.microsoft.com/office/drawing/2014/main" id="{00000000-0008-0000-0000-000005000000}"/>
            </a:ext>
          </a:extLst>
        </xdr:cNvPr>
        <xdr:cNvSpPr txBox="1"/>
      </xdr:nvSpPr>
      <xdr:spPr>
        <a:xfrm>
          <a:off x="4381500" y="3246120"/>
          <a:ext cx="9212580" cy="388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es-ES" sz="1200" b="1" i="0" u="none" strike="noStrike">
              <a:solidFill>
                <a:schemeClr val="dk1"/>
              </a:solidFill>
              <a:effectLst/>
              <a:latin typeface="+mn-lt"/>
              <a:ea typeface="+mn-ea"/>
              <a:cs typeface="+mn-cs"/>
            </a:rPr>
            <a:t>Before digging into the principles of our group assignment, let us have a quick momento on some pertinent course materials viewed in the previous lectures. Options, in finance, are financial derivatives, that convey its owner the right but not the obligation to buy or sell the underlying asset, leaving the other counterparty of the contract with the obligation to execute if the holder decides to execute his option.</a:t>
          </a:r>
          <a:endParaRPr lang="es-ES" sz="1200" b="1">
            <a:effectLst/>
          </a:endParaRPr>
        </a:p>
        <a:p>
          <a:pPr algn="l" rtl="0"/>
          <a:br>
            <a:rPr lang="es-ES" sz="1200" b="1">
              <a:effectLst/>
            </a:rPr>
          </a:br>
          <a:r>
            <a:rPr lang="es-ES" sz="1200" b="1" i="0" u="none" strike="noStrike">
              <a:solidFill>
                <a:schemeClr val="dk1"/>
              </a:solidFill>
              <a:effectLst/>
              <a:latin typeface="+mn-lt"/>
              <a:ea typeface="+mn-ea"/>
              <a:cs typeface="+mn-cs"/>
            </a:rPr>
            <a:t>There are two types of options, Call options which allow the owner to buy the underlying asset at strike price stated in the contract within a specific timeframe, and Put options that allow the owner to sell the underlying asset at the strike price stated in the contract within a specific timeframe.</a:t>
          </a:r>
          <a:endParaRPr lang="es-ES" sz="1200" b="1">
            <a:effectLst/>
          </a:endParaRPr>
        </a:p>
        <a:p>
          <a:pPr algn="l" rtl="0"/>
          <a:br>
            <a:rPr lang="es-ES" sz="1200" b="1">
              <a:effectLst/>
            </a:rPr>
          </a:br>
          <a:r>
            <a:rPr lang="es-ES" sz="1200" b="1" i="0" u="none" strike="noStrike">
              <a:solidFill>
                <a:schemeClr val="dk1"/>
              </a:solidFill>
              <a:effectLst/>
              <a:latin typeface="+mn-lt"/>
              <a:ea typeface="+mn-ea"/>
              <a:cs typeface="+mn-cs"/>
            </a:rPr>
            <a:t>Options remain a very strong financial tool, as they provide increased cost efficiency, and they may be less risky than equity. They are mainly used for hedging and speculation purposes.</a:t>
          </a:r>
          <a:endParaRPr lang="es-ES" sz="1200" b="1">
            <a:effectLst/>
          </a:endParaRPr>
        </a:p>
        <a:p>
          <a:pPr algn="l" rtl="0"/>
          <a:r>
            <a:rPr lang="es-ES" sz="1200" b="1" i="0" u="none" strike="noStrike">
              <a:solidFill>
                <a:schemeClr val="dk1"/>
              </a:solidFill>
              <a:effectLst/>
              <a:latin typeface="+mn-lt"/>
              <a:ea typeface="+mn-ea"/>
              <a:cs typeface="+mn-cs"/>
            </a:rPr>
            <a:t> </a:t>
          </a:r>
          <a:endParaRPr lang="es-ES" sz="1200" b="1">
            <a:effectLst/>
          </a:endParaRPr>
        </a:p>
        <a:p>
          <a:pPr algn="l" rtl="0"/>
          <a:r>
            <a:rPr lang="es-ES" sz="1200" b="1" i="0" u="none" strike="noStrike">
              <a:solidFill>
                <a:schemeClr val="dk1"/>
              </a:solidFill>
              <a:effectLst/>
              <a:latin typeface="+mn-lt"/>
              <a:ea typeface="+mn-ea"/>
              <a:cs typeface="+mn-cs"/>
            </a:rPr>
            <a:t>In the implementation of our model, we will focus on European Options. European options are a version of options contract that unlike the American style options limits its execution to its maturity date. In other words, the holder of a European call or put option can not exercise his option whenever he wants but only at the expiration date specified in the contract.</a:t>
          </a:r>
          <a:endParaRPr lang="es-ES" sz="1200" b="1">
            <a:effectLst/>
          </a:endParaRPr>
        </a:p>
        <a:p>
          <a:pPr algn="l" rtl="0"/>
          <a:br>
            <a:rPr lang="es-ES" sz="1200" b="1">
              <a:effectLst/>
            </a:rPr>
          </a:br>
          <a:r>
            <a:rPr lang="es-ES" sz="1200" b="1" i="0" u="none" strike="noStrike">
              <a:solidFill>
                <a:schemeClr val="dk1"/>
              </a:solidFill>
              <a:effectLst/>
              <a:latin typeface="+mn-lt"/>
              <a:ea typeface="+mn-ea"/>
              <a:cs typeface="+mn-cs"/>
            </a:rPr>
            <a:t>Our aim with this model is to price European Call and Put Options only by using some information that is related to the option contract and the underlying asset, such as the strike price, the maturity date, the spot price of the asset. etc, by implementing them in the Binomial and Black-Scholes-Merton formula.</a:t>
          </a:r>
          <a:endParaRPr lang="es-ES" sz="1200" b="1">
            <a:effectLst/>
          </a:endParaRPr>
        </a:p>
        <a:p>
          <a:pPr algn="l" rtl="0"/>
          <a:br>
            <a:rPr lang="es-ES" sz="1200" b="1">
              <a:effectLst/>
            </a:rPr>
          </a:br>
          <a:r>
            <a:rPr lang="es-ES" sz="1200" b="1" i="0" u="none" strike="noStrike">
              <a:solidFill>
                <a:schemeClr val="dk1"/>
              </a:solidFill>
              <a:effectLst/>
              <a:latin typeface="+mn-lt"/>
              <a:ea typeface="+mn-ea"/>
              <a:cs typeface="+mn-cs"/>
            </a:rPr>
            <a:t>Since options are derivatives contracts, the movement in the price of the underlying asset up or down has a direct but not a proportional effect on the price of the option. That is why, these different pricing models are based also on other determining price factors, such as interest rates, risk-free rates, volatility, etc.</a:t>
          </a:r>
          <a:endParaRPr lang="es-ES" sz="1200" b="1">
            <a:effectLst/>
          </a:endParaRPr>
        </a:p>
        <a:p>
          <a:pPr algn="l" rtl="0"/>
          <a:br>
            <a:rPr lang="es-ES" sz="1200" b="1">
              <a:effectLst/>
            </a:rPr>
          </a:br>
          <a:r>
            <a:rPr lang="es-ES" sz="1200" b="1" i="0" u="none" strike="noStrike">
              <a:solidFill>
                <a:schemeClr val="dk1"/>
              </a:solidFill>
              <a:effectLst/>
              <a:latin typeface="+mn-lt"/>
              <a:ea typeface="+mn-ea"/>
              <a:cs typeface="+mn-cs"/>
            </a:rPr>
            <a:t>The document is structured as follows: the first part will discuss the overview of the questions, the second part will explain the foundations of the Binomial and Black-Scholes-Merton model and a third part acting as  a User Guide for the excel model.</a:t>
          </a:r>
          <a:endParaRPr lang="es-ES" sz="1200" b="1">
            <a:effectLst/>
          </a:endParaRPr>
        </a:p>
        <a:p>
          <a:br>
            <a:rPr lang="es-ES"/>
          </a:br>
          <a:endParaRPr lang="es-ES" sz="1100"/>
        </a:p>
      </xdr:txBody>
    </xdr:sp>
    <xdr:clientData/>
  </xdr:twoCellAnchor>
  <xdr:twoCellAnchor>
    <xdr:from>
      <xdr:col>0</xdr:col>
      <xdr:colOff>190500</xdr:colOff>
      <xdr:row>36</xdr:row>
      <xdr:rowOff>30480</xdr:rowOff>
    </xdr:from>
    <xdr:to>
      <xdr:col>5</xdr:col>
      <xdr:colOff>579120</xdr:colOff>
      <xdr:row>42</xdr:row>
      <xdr:rowOff>160020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190500" y="7292340"/>
          <a:ext cx="3322320" cy="1318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500" b="1" i="0"/>
            <a:t>Foundations</a:t>
          </a:r>
          <a:r>
            <a:rPr lang="es-ES" sz="2500" b="1" i="0" baseline="0"/>
            <a:t> of the Black-Scholes-Merton formula</a:t>
          </a:r>
          <a:endParaRPr lang="es-ES" sz="2500" b="1" i="0"/>
        </a:p>
      </xdr:txBody>
    </xdr:sp>
    <xdr:clientData/>
  </xdr:twoCellAnchor>
  <xdr:twoCellAnchor>
    <xdr:from>
      <xdr:col>6</xdr:col>
      <xdr:colOff>22860</xdr:colOff>
      <xdr:row>37</xdr:row>
      <xdr:rowOff>7620</xdr:rowOff>
    </xdr:from>
    <xdr:to>
      <xdr:col>23</xdr:col>
      <xdr:colOff>53340</xdr:colOff>
      <xdr:row>41</xdr:row>
      <xdr:rowOff>152400</xdr:rowOff>
    </xdr:to>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3543300" y="7467600"/>
          <a:ext cx="10005060" cy="937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ES" sz="1200" b="1" i="0" u="none" strike="noStrike">
              <a:solidFill>
                <a:schemeClr val="dk1"/>
              </a:solidFill>
              <a:effectLst/>
              <a:latin typeface="+mn-lt"/>
              <a:ea typeface="+mn-ea"/>
              <a:cs typeface="+mn-cs"/>
            </a:rPr>
            <a:t>The Black-Scholes is a pricing model used to determine the fair price or theoretical value for a call or a put option based on six variables such as volatility, type of option, underlying stock price, time, strike price, and the risk-free rate. The quantum of speculation is more in the case of stock market derivatives, and hence proper pricing of options eliminates the opportunity for any arbitrage (The Economics Times). The use of this model is for the determination of a European call option, leading to the fact that the latter can be exercised only at the date of expiration.</a:t>
          </a:r>
          <a:endParaRPr lang="es-ES" sz="1200" b="1">
            <a:effectLst/>
          </a:endParaRPr>
        </a:p>
        <a:p>
          <a:br>
            <a:rPr lang="es-ES" sz="1200" b="1"/>
          </a:br>
          <a:endParaRPr lang="es-ES" sz="1200" b="1"/>
        </a:p>
      </xdr:txBody>
    </xdr:sp>
    <xdr:clientData/>
  </xdr:twoCellAnchor>
  <xdr:twoCellAnchor>
    <xdr:from>
      <xdr:col>0</xdr:col>
      <xdr:colOff>205740</xdr:colOff>
      <xdr:row>49</xdr:row>
      <xdr:rowOff>137160</xdr:rowOff>
    </xdr:from>
    <xdr:to>
      <xdr:col>6</xdr:col>
      <xdr:colOff>7620</xdr:colOff>
      <xdr:row>56</xdr:row>
      <xdr:rowOff>68580</xdr:rowOff>
    </xdr:to>
    <xdr:sp macro="" textlink="">
      <xdr:nvSpPr>
        <xdr:cNvPr id="10" name="ZoneTexte 9">
          <a:extLst>
            <a:ext uri="{FF2B5EF4-FFF2-40B4-BE49-F238E27FC236}">
              <a16:creationId xmlns:a16="http://schemas.microsoft.com/office/drawing/2014/main" id="{00000000-0008-0000-0000-00000A000000}"/>
            </a:ext>
          </a:extLst>
        </xdr:cNvPr>
        <xdr:cNvSpPr txBox="1"/>
      </xdr:nvSpPr>
      <xdr:spPr>
        <a:xfrm>
          <a:off x="205740" y="9974580"/>
          <a:ext cx="3322320" cy="1318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500" b="1" i="0"/>
            <a:t>The</a:t>
          </a:r>
          <a:r>
            <a:rPr lang="es-ES" sz="2500" b="1" i="0" baseline="0"/>
            <a:t> assumptions of the Black-Scholes-Merton model</a:t>
          </a:r>
          <a:endParaRPr lang="es-ES" sz="2500" b="1" i="0"/>
        </a:p>
      </xdr:txBody>
    </xdr:sp>
    <xdr:clientData/>
  </xdr:twoCellAnchor>
  <xdr:twoCellAnchor>
    <xdr:from>
      <xdr:col>6</xdr:col>
      <xdr:colOff>60960</xdr:colOff>
      <xdr:row>43</xdr:row>
      <xdr:rowOff>152400</xdr:rowOff>
    </xdr:from>
    <xdr:to>
      <xdr:col>23</xdr:col>
      <xdr:colOff>396240</xdr:colOff>
      <xdr:row>63</xdr:row>
      <xdr:rowOff>144780</xdr:rowOff>
    </xdr:to>
    <xdr:sp macro="" textlink="">
      <xdr:nvSpPr>
        <xdr:cNvPr id="7" name="ZoneTexte 6">
          <a:extLst>
            <a:ext uri="{FF2B5EF4-FFF2-40B4-BE49-F238E27FC236}">
              <a16:creationId xmlns:a16="http://schemas.microsoft.com/office/drawing/2014/main" id="{00000000-0008-0000-0000-000007000000}"/>
            </a:ext>
          </a:extLst>
        </xdr:cNvPr>
        <xdr:cNvSpPr txBox="1"/>
      </xdr:nvSpPr>
      <xdr:spPr>
        <a:xfrm>
          <a:off x="3581400" y="8801100"/>
          <a:ext cx="10309860" cy="3954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ES" sz="1100" b="0" i="0" u="none" strike="noStrike">
              <a:solidFill>
                <a:schemeClr val="dk1"/>
              </a:solidFill>
              <a:effectLst/>
              <a:latin typeface="+mn-lt"/>
              <a:ea typeface="+mn-ea"/>
              <a:cs typeface="+mn-cs"/>
            </a:rPr>
            <a:t>This option pricing model relies on a plethora of assumptions. Some of them are assumptions are the same as in financial models such as Sharpe (1964), Lintner (1965), and Mossin (1966) Capital Asset Pricing Model (CAPM) and some of them are different from the latter.</a:t>
          </a:r>
          <a:endParaRPr lang="es-ES" b="0">
            <a:effectLst/>
          </a:endParaRPr>
        </a:p>
        <a:p>
          <a:pPr rtl="0"/>
          <a:r>
            <a:rPr lang="es-ES" sz="1100" b="0" i="0" u="none" strike="noStrike">
              <a:solidFill>
                <a:schemeClr val="dk1"/>
              </a:solidFill>
              <a:effectLst/>
              <a:latin typeface="+mn-lt"/>
              <a:ea typeface="+mn-ea"/>
              <a:cs typeface="+mn-cs"/>
            </a:rPr>
            <a:t>The elementary assumptions for the Black-Scholes model to be satisfied are as follows:</a:t>
          </a:r>
        </a:p>
        <a:p>
          <a:pPr rtl="0"/>
          <a:endParaRPr lang="es-ES" b="0">
            <a:effectLst/>
          </a:endParaRPr>
        </a:p>
        <a:p>
          <a:pPr rtl="0" fontAlgn="base"/>
          <a:r>
            <a:rPr lang="es-ES" sz="1100" b="0" i="0" u="none" strike="noStrike" baseline="0">
              <a:solidFill>
                <a:schemeClr val="dk1"/>
              </a:solidFill>
              <a:effectLst/>
              <a:latin typeface="+mn-lt"/>
              <a:ea typeface="+mn-ea"/>
              <a:cs typeface="+mn-cs"/>
            </a:rPr>
            <a:t>	</a:t>
          </a:r>
          <a:r>
            <a:rPr lang="es-ES" sz="1100" b="0" i="0" u="none" strike="noStrike">
              <a:solidFill>
                <a:schemeClr val="dk1"/>
              </a:solidFill>
              <a:effectLst/>
              <a:latin typeface="+mn-lt"/>
              <a:ea typeface="+mn-ea"/>
              <a:cs typeface="+mn-cs"/>
            </a:rPr>
            <a:t>- The fact that there are no restrictions, taxes, and limitations on security tradings, these security markets are frictionless. </a:t>
          </a:r>
        </a:p>
        <a:p>
          <a:pPr rtl="0" fontAlgn="base"/>
          <a:r>
            <a:rPr lang="es-ES" sz="1100" b="0" i="0" u="none" strike="noStrike">
              <a:solidFill>
                <a:schemeClr val="dk1"/>
              </a:solidFill>
              <a:effectLst/>
              <a:latin typeface="+mn-lt"/>
              <a:ea typeface="+mn-ea"/>
              <a:cs typeface="+mn-cs"/>
            </a:rPr>
            <a:t>	- During the lifetime of the option, there are no additional payments from the underlying assets</a:t>
          </a:r>
        </a:p>
        <a:p>
          <a:pPr rtl="0" fontAlgn="base"/>
          <a:r>
            <a:rPr lang="es-ES" sz="1100" b="0" i="0" u="none" strike="noStrike">
              <a:solidFill>
                <a:schemeClr val="dk1"/>
              </a:solidFill>
              <a:effectLst/>
              <a:latin typeface="+mn-lt"/>
              <a:ea typeface="+mn-ea"/>
              <a:cs typeface="+mn-cs"/>
            </a:rPr>
            <a:t>	- The risk-free interest rate is constant for the whole lifespan of the option, thus investors can borrow or lend at that same rate</a:t>
          </a:r>
        </a:p>
        <a:p>
          <a:pPr rtl="0" fontAlgn="base"/>
          <a:r>
            <a:rPr lang="es-ES" sz="1100" b="0" i="0" u="none" strike="noStrike">
              <a:solidFill>
                <a:schemeClr val="dk1"/>
              </a:solidFill>
              <a:effectLst/>
              <a:latin typeface="+mn-lt"/>
              <a:ea typeface="+mn-ea"/>
              <a:cs typeface="+mn-cs"/>
            </a:rPr>
            <a:t>	- No riskless arbitrage opportunities</a:t>
          </a:r>
        </a:p>
        <a:p>
          <a:pPr rtl="0" fontAlgn="base"/>
          <a:r>
            <a:rPr lang="es-ES" sz="1100" b="0" i="0" u="none" strike="noStrike">
              <a:solidFill>
                <a:schemeClr val="dk1"/>
              </a:solidFill>
              <a:effectLst/>
              <a:latin typeface="+mn-lt"/>
              <a:ea typeface="+mn-ea"/>
              <a:cs typeface="+mn-cs"/>
            </a:rPr>
            <a:t>	- Continuous trading in assets throughout time</a:t>
          </a:r>
        </a:p>
        <a:p>
          <a:pPr rtl="0" fontAlgn="base"/>
          <a:r>
            <a:rPr lang="es-ES" sz="1100" b="0" i="0" u="none" strike="noStrike">
              <a:solidFill>
                <a:schemeClr val="dk1"/>
              </a:solidFill>
              <a:effectLst/>
              <a:latin typeface="+mn-lt"/>
              <a:ea typeface="+mn-ea"/>
              <a:cs typeface="+mn-cs"/>
            </a:rPr>
            <a:t>	- The price of the underlying asset has a lognormal distribution and evolves with continuous sample paths according to the Brownian motion process</a:t>
          </a:r>
        </a:p>
        <a:p>
          <a:pPr rtl="0" fontAlgn="base"/>
          <a:r>
            <a:rPr lang="es-ES" sz="1100" b="0" i="0" u="none" strike="noStrike">
              <a:solidFill>
                <a:schemeClr val="dk1"/>
              </a:solidFill>
              <a:effectLst/>
              <a:latin typeface="+mn-lt"/>
              <a:ea typeface="+mn-ea"/>
              <a:cs typeface="+mn-cs"/>
            </a:rPr>
            <a:t>	- More is preferred to less by investors and they agree on the function of underlying asset’s variance 2, which is considered to be constant</a:t>
          </a:r>
        </a:p>
        <a:p>
          <a:pPr rtl="0"/>
          <a:br>
            <a:rPr lang="es-ES" b="0">
              <a:effectLst/>
            </a:rPr>
          </a:br>
          <a:r>
            <a:rPr lang="es-ES" sz="1100" b="0" i="0" u="none" strike="noStrike">
              <a:solidFill>
                <a:schemeClr val="dk1"/>
              </a:solidFill>
              <a:effectLst/>
              <a:latin typeface="+mn-lt"/>
              <a:ea typeface="+mn-ea"/>
              <a:cs typeface="+mn-cs"/>
            </a:rPr>
            <a:t>Considering the fact that these assumptions are satisfied, the Black-Scholes formula is obtained.</a:t>
          </a:r>
        </a:p>
        <a:p>
          <a:pPr rtl="0"/>
          <a:endParaRPr lang="es-ES" b="0">
            <a:effectLst/>
          </a:endParaRPr>
        </a:p>
        <a:p>
          <a:pPr rtl="0"/>
          <a:r>
            <a:rPr lang="es-ES" sz="1100" b="0" i="0" u="none" strike="noStrike">
              <a:solidFill>
                <a:schemeClr val="dk1"/>
              </a:solidFill>
              <a:effectLst/>
              <a:latin typeface="+mn-lt"/>
              <a:ea typeface="+mn-ea"/>
              <a:cs typeface="+mn-cs"/>
            </a:rPr>
            <a:t>The mathematical formulae applied for both a call and a put option and it is as follows:</a:t>
          </a:r>
          <a:endParaRPr lang="es-ES" b="0">
            <a:effectLst/>
          </a:endParaRPr>
        </a:p>
        <a:p>
          <a:br>
            <a:rPr lang="es-ES"/>
          </a:br>
          <a:r>
            <a:rPr lang="es-ES"/>
            <a:t>					</a:t>
          </a:r>
        </a:p>
        <a:p>
          <a:endParaRPr lang="es-ES" sz="1100"/>
        </a:p>
        <a:p>
          <a:r>
            <a:rPr lang="es-ES" sz="1100"/>
            <a:t>				</a:t>
          </a:r>
          <a:r>
            <a:rPr lang="es-ES" sz="1100" baseline="0"/>
            <a:t>   where			                   </a:t>
          </a:r>
          <a:endParaRPr lang="es-ES" sz="1100"/>
        </a:p>
      </xdr:txBody>
    </xdr:sp>
    <xdr:clientData/>
  </xdr:twoCellAnchor>
  <xdr:twoCellAnchor editAs="oneCell">
    <xdr:from>
      <xdr:col>6</xdr:col>
      <xdr:colOff>510540</xdr:colOff>
      <xdr:row>58</xdr:row>
      <xdr:rowOff>22860</xdr:rowOff>
    </xdr:from>
    <xdr:to>
      <xdr:col>12</xdr:col>
      <xdr:colOff>342900</xdr:colOff>
      <xdr:row>62</xdr:row>
      <xdr:rowOff>129540</xdr:rowOff>
    </xdr:to>
    <xdr:pic>
      <xdr:nvPicPr>
        <xdr:cNvPr id="12" name="Imag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30980" y="11643360"/>
          <a:ext cx="3352800" cy="899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304800</xdr:colOff>
      <xdr:row>57</xdr:row>
      <xdr:rowOff>53340</xdr:rowOff>
    </xdr:from>
    <xdr:to>
      <xdr:col>18</xdr:col>
      <xdr:colOff>60960</xdr:colOff>
      <xdr:row>63</xdr:row>
      <xdr:rowOff>45720</xdr:rowOff>
    </xdr:to>
    <xdr:pic>
      <xdr:nvPicPr>
        <xdr:cNvPr id="13" name="Image 12">
          <a:extLst>
            <a:ext uri="{FF2B5EF4-FFF2-40B4-BE49-F238E27FC236}">
              <a16:creationId xmlns:a16="http://schemas.microsoft.com/office/drawing/2014/main" id="{00000000-0008-0000-0000-00000D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11429"/>
        <a:stretch/>
      </xdr:blipFill>
      <xdr:spPr bwMode="auto">
        <a:xfrm>
          <a:off x="7932420" y="11475720"/>
          <a:ext cx="2689860" cy="118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327660</xdr:colOff>
      <xdr:row>64</xdr:row>
      <xdr:rowOff>0</xdr:rowOff>
    </xdr:from>
    <xdr:to>
      <xdr:col>22</xdr:col>
      <xdr:colOff>472440</xdr:colOff>
      <xdr:row>71</xdr:row>
      <xdr:rowOff>137160</xdr:rowOff>
    </xdr:to>
    <xdr:sp macro="" textlink="">
      <xdr:nvSpPr>
        <xdr:cNvPr id="11" name="ZoneTexte 10">
          <a:extLst>
            <a:ext uri="{FF2B5EF4-FFF2-40B4-BE49-F238E27FC236}">
              <a16:creationId xmlns:a16="http://schemas.microsoft.com/office/drawing/2014/main" id="{00000000-0008-0000-0000-00000B000000}"/>
            </a:ext>
          </a:extLst>
        </xdr:cNvPr>
        <xdr:cNvSpPr txBox="1"/>
      </xdr:nvSpPr>
      <xdr:spPr>
        <a:xfrm>
          <a:off x="4434840" y="12809220"/>
          <a:ext cx="8945880"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i="1"/>
            <a:t>with : </a:t>
          </a:r>
        </a:p>
        <a:p>
          <a:pPr rtl="0" fontAlgn="base"/>
          <a:r>
            <a:rPr lang="es-ES" sz="1100" b="0" i="1" u="none" strike="noStrike" baseline="0">
              <a:solidFill>
                <a:schemeClr val="dk1"/>
              </a:solidFill>
              <a:effectLst/>
              <a:latin typeface="+mn-lt"/>
              <a:ea typeface="+mn-ea"/>
              <a:cs typeface="+mn-cs"/>
            </a:rPr>
            <a:t>	</a:t>
          </a:r>
          <a:r>
            <a:rPr lang="es-ES" sz="1100" b="0" i="1" u="none" strike="noStrike">
              <a:solidFill>
                <a:schemeClr val="dk1"/>
              </a:solidFill>
              <a:effectLst/>
              <a:latin typeface="+mn-lt"/>
              <a:ea typeface="+mn-ea"/>
              <a:cs typeface="+mn-cs"/>
            </a:rPr>
            <a:t>- N(𝑥) is the cumulative probability function for a variable with standard normal distribution N(0,1) with a mean of 0 and a variance of 1.</a:t>
          </a:r>
        </a:p>
        <a:p>
          <a:pPr rtl="0" fontAlgn="base"/>
          <a:r>
            <a:rPr lang="es-ES" sz="1100" b="0" i="1" u="none" strike="noStrike">
              <a:solidFill>
                <a:schemeClr val="dk1"/>
              </a:solidFill>
              <a:effectLst/>
              <a:latin typeface="+mn-lt"/>
              <a:ea typeface="+mn-ea"/>
              <a:cs typeface="+mn-cs"/>
            </a:rPr>
            <a:t>	-  C and P are the prices of European call and put options respectively</a:t>
          </a:r>
        </a:p>
        <a:p>
          <a:pPr rtl="0" fontAlgn="base"/>
          <a:r>
            <a:rPr lang="es-ES" sz="1100" b="0" i="1" u="none" strike="noStrike">
              <a:solidFill>
                <a:schemeClr val="dk1"/>
              </a:solidFill>
              <a:effectLst/>
              <a:latin typeface="+mn-lt"/>
              <a:ea typeface="+mn-ea"/>
              <a:cs typeface="+mn-cs"/>
            </a:rPr>
            <a:t>	- S0 is the underlying asset  price</a:t>
          </a:r>
        </a:p>
        <a:p>
          <a:pPr rtl="0" fontAlgn="base"/>
          <a:r>
            <a:rPr lang="es-ES" sz="1100" b="0" i="1" u="none" strike="noStrike">
              <a:solidFill>
                <a:schemeClr val="dk1"/>
              </a:solidFill>
              <a:effectLst/>
              <a:latin typeface="+mn-lt"/>
              <a:ea typeface="+mn-ea"/>
              <a:cs typeface="+mn-cs"/>
            </a:rPr>
            <a:t>	- X is the strike price, is the volatility</a:t>
          </a:r>
        </a:p>
        <a:p>
          <a:pPr rtl="0" fontAlgn="base"/>
          <a:r>
            <a:rPr lang="es-ES" sz="1100" b="0" i="1" u="none" strike="noStrike">
              <a:solidFill>
                <a:schemeClr val="dk1"/>
              </a:solidFill>
              <a:effectLst/>
              <a:latin typeface="+mn-lt"/>
              <a:ea typeface="+mn-ea"/>
              <a:cs typeface="+mn-cs"/>
            </a:rPr>
            <a:t> 	- r is the continuously compounded risk-free interest rate</a:t>
          </a:r>
        </a:p>
        <a:p>
          <a:pPr rtl="0" fontAlgn="base"/>
          <a:r>
            <a:rPr lang="es-ES" sz="1100" b="0" i="1" u="none" strike="noStrike">
              <a:solidFill>
                <a:schemeClr val="dk1"/>
              </a:solidFill>
              <a:effectLst/>
              <a:latin typeface="+mn-lt"/>
              <a:ea typeface="+mn-ea"/>
              <a:cs typeface="+mn-cs"/>
            </a:rPr>
            <a:t> 	- q is the continuously compounded dividend yield </a:t>
          </a:r>
        </a:p>
        <a:p>
          <a:pPr rtl="0" fontAlgn="base"/>
          <a:r>
            <a:rPr lang="es-ES" sz="1100" b="0" i="1" u="none" strike="noStrike">
              <a:solidFill>
                <a:schemeClr val="dk1"/>
              </a:solidFill>
              <a:effectLst/>
              <a:latin typeface="+mn-lt"/>
              <a:ea typeface="+mn-ea"/>
              <a:cs typeface="+mn-cs"/>
            </a:rPr>
            <a:t>	-</a:t>
          </a:r>
          <a:r>
            <a:rPr lang="es-ES" sz="1100" b="0" i="1" u="none" strike="noStrike" baseline="0">
              <a:solidFill>
                <a:schemeClr val="dk1"/>
              </a:solidFill>
              <a:effectLst/>
              <a:latin typeface="+mn-lt"/>
              <a:ea typeface="+mn-ea"/>
              <a:cs typeface="+mn-cs"/>
            </a:rPr>
            <a:t> </a:t>
          </a:r>
          <a:r>
            <a:rPr lang="es-ES" sz="1100" b="0" i="1" u="none" strike="noStrike">
              <a:solidFill>
                <a:schemeClr val="dk1"/>
              </a:solidFill>
              <a:effectLst/>
              <a:latin typeface="+mn-lt"/>
              <a:ea typeface="+mn-ea"/>
              <a:cs typeface="+mn-cs"/>
            </a:rPr>
            <a:t>t is the time to maturity.</a:t>
          </a:r>
        </a:p>
        <a:p>
          <a:endParaRPr lang="es-E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88900</xdr:colOff>
          <xdr:row>4</xdr:row>
          <xdr:rowOff>139700</xdr:rowOff>
        </xdr:from>
        <xdr:to>
          <xdr:col>3</xdr:col>
          <xdr:colOff>1612900</xdr:colOff>
          <xdr:row>6</xdr:row>
          <xdr:rowOff>139700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xdr:colOff>
          <xdr:row>8</xdr:row>
          <xdr:rowOff>12700</xdr:rowOff>
        </xdr:from>
        <xdr:to>
          <xdr:col>3</xdr:col>
          <xdr:colOff>1612900</xdr:colOff>
          <xdr:row>10</xdr:row>
          <xdr:rowOff>12700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xdr:colOff>
          <xdr:row>1</xdr:row>
          <xdr:rowOff>114300</xdr:rowOff>
        </xdr:from>
        <xdr:to>
          <xdr:col>3</xdr:col>
          <xdr:colOff>1612900</xdr:colOff>
          <xdr:row>3</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 Binomial Model</a:t>
              </a:r>
            </a:p>
          </xdr:txBody>
        </xdr:sp>
        <xdr:clientData fPrintsWithSheet="0"/>
      </xdr:twoCellAnchor>
    </mc:Choice>
    <mc:Fallback/>
  </mc:AlternateContent>
  <xdr:twoCellAnchor>
    <xdr:from>
      <xdr:col>3</xdr:col>
      <xdr:colOff>2298700</xdr:colOff>
      <xdr:row>0</xdr:row>
      <xdr:rowOff>184150</xdr:rowOff>
    </xdr:from>
    <xdr:to>
      <xdr:col>12</xdr:col>
      <xdr:colOff>457200</xdr:colOff>
      <xdr:row>31</xdr:row>
      <xdr:rowOff>177800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0.15584</cdr:x>
      <cdr:y>0.95349</cdr:y>
    </cdr:from>
    <cdr:to>
      <cdr:x>0.5855</cdr:x>
      <cdr:y>1</cdr:y>
    </cdr:to>
    <cdr:sp macro="" textlink="">
      <cdr:nvSpPr>
        <cdr:cNvPr id="2" name="TextBox 1">
          <a:extLst xmlns:a="http://schemas.openxmlformats.org/drawingml/2006/main">
            <a:ext uri="{FF2B5EF4-FFF2-40B4-BE49-F238E27FC236}">
              <a16:creationId xmlns:a16="http://schemas.microsoft.com/office/drawing/2014/main" id="{8B46D1D9-901B-F242-A4E4-59F3858F232B}"/>
            </a:ext>
          </a:extLst>
        </cdr:cNvPr>
        <cdr:cNvSpPr txBox="1"/>
      </cdr:nvSpPr>
      <cdr:spPr>
        <a:xfrm xmlns:a="http://schemas.openxmlformats.org/drawingml/2006/main">
          <a:off x="1451428" y="5785556"/>
          <a:ext cx="4001509" cy="28222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 Considering a premium of 1%</a:t>
          </a:r>
          <a:r>
            <a:rPr lang="en-US" sz="1100" baseline="0"/>
            <a:t> (over the underlying spot price)</a:t>
          </a:r>
          <a:endParaRPr lang="en-US" sz="1100"/>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330200</xdr:colOff>
          <xdr:row>3</xdr:row>
          <xdr:rowOff>190500</xdr:rowOff>
        </xdr:from>
        <xdr:to>
          <xdr:col>11</xdr:col>
          <xdr:colOff>152400</xdr:colOff>
          <xdr:row>5</xdr:row>
          <xdr:rowOff>88900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330200</xdr:colOff>
          <xdr:row>6</xdr:row>
          <xdr:rowOff>76200</xdr:rowOff>
        </xdr:from>
        <xdr:to>
          <xdr:col>11</xdr:col>
          <xdr:colOff>152400</xdr:colOff>
          <xdr:row>7</xdr:row>
          <xdr:rowOff>215900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2</xdr:row>
          <xdr:rowOff>165100</xdr:rowOff>
        </xdr:from>
        <xdr:to>
          <xdr:col>7</xdr:col>
          <xdr:colOff>508000</xdr:colOff>
          <xdr:row>4</xdr:row>
          <xdr:rowOff>165100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6</xdr:row>
          <xdr:rowOff>114300</xdr:rowOff>
        </xdr:from>
        <xdr:to>
          <xdr:col>7</xdr:col>
          <xdr:colOff>533400</xdr:colOff>
          <xdr:row>8</xdr:row>
          <xdr:rowOff>114300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D59CAC-98FB-724A-A8E4-6E4073100433}" name="Table2" displayName="Table2" ref="A1:D43" totalsRowShown="0" headerRowDxfId="4" tableBorderDxfId="5">
  <autoFilter ref="A1:D43" xr:uid="{BAD59CAC-98FB-724A-A8E4-6E4073100433}">
    <filterColumn colId="0" hiddenButton="1"/>
    <filterColumn colId="1" hiddenButton="1"/>
    <filterColumn colId="2" hiddenButton="1"/>
    <filterColumn colId="3" hiddenButton="1"/>
  </autoFilter>
  <tableColumns count="4">
    <tableColumn id="1" xr3:uid="{CCACAA1D-FD11-F341-935E-66D4CE3C0735}" name="Year" dataDxfId="2"/>
    <tableColumn id="2" xr3:uid="{E34AFC99-0979-5D4A-B5FE-BFF3AA7C01EA}" name="Dividends" dataDxfId="0"/>
    <tableColumn id="3" xr3:uid="{E2A00AFB-A3CB-634E-802F-244E3AC80441}" name="Close" dataDxfId="1"/>
    <tableColumn id="4" xr3:uid="{53E766E5-FA20-F043-A93A-22B7DD88C8C3}" name="Dividends (%)" dataDxfId="3" dataCellStyle="Percent">
      <calculatedColumnFormula>B2/C2</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A4">
  <tableColumns count="1">
    <tableColumn id="1" xr3:uid="{00000000-0010-0000-0000-000001000000}" name="type_options_list"/>
  </tableColumns>
  <tableStyleInfo name="Aux-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jardieljr/derivatives" TargetMode="Externa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04"/>
  <sheetViews>
    <sheetView showGridLines="0" workbookViewId="0">
      <selection activeCell="W7" sqref="W7"/>
    </sheetView>
  </sheetViews>
  <sheetFormatPr baseColWidth="10" defaultColWidth="12.6640625" defaultRowHeight="15" customHeight="1" x14ac:dyDescent="0.15"/>
  <cols>
    <col min="1" max="26" width="7.6640625" customWidth="1"/>
  </cols>
  <sheetData>
    <row r="1" spans="1:14" ht="16" x14ac:dyDescent="0.2">
      <c r="C1" s="61" t="s">
        <v>0</v>
      </c>
      <c r="D1" s="62"/>
      <c r="E1" s="62"/>
      <c r="F1" s="62"/>
      <c r="G1" s="62"/>
      <c r="H1" s="62"/>
      <c r="I1" s="62"/>
      <c r="J1" s="62"/>
      <c r="K1" s="63"/>
      <c r="M1" s="1" t="s">
        <v>1</v>
      </c>
      <c r="N1" s="1"/>
    </row>
    <row r="2" spans="1:14" ht="16" x14ac:dyDescent="0.2">
      <c r="C2" s="64"/>
      <c r="D2" s="65"/>
      <c r="E2" s="65"/>
      <c r="F2" s="65"/>
      <c r="G2" s="65"/>
      <c r="H2" s="65"/>
      <c r="I2" s="65"/>
      <c r="J2" s="65"/>
      <c r="K2" s="66"/>
      <c r="M2" s="1"/>
      <c r="N2" s="1" t="s">
        <v>2</v>
      </c>
    </row>
    <row r="3" spans="1:14" ht="16" x14ac:dyDescent="0.2">
      <c r="C3" s="64"/>
      <c r="D3" s="65"/>
      <c r="E3" s="65"/>
      <c r="F3" s="65"/>
      <c r="G3" s="65"/>
      <c r="H3" s="65"/>
      <c r="I3" s="65"/>
      <c r="J3" s="65"/>
      <c r="K3" s="66"/>
      <c r="N3" s="1" t="s">
        <v>3</v>
      </c>
    </row>
    <row r="4" spans="1:14" ht="16" x14ac:dyDescent="0.2">
      <c r="C4" s="64"/>
      <c r="D4" s="65"/>
      <c r="E4" s="65"/>
      <c r="F4" s="65"/>
      <c r="G4" s="65"/>
      <c r="H4" s="65"/>
      <c r="I4" s="65"/>
      <c r="J4" s="65"/>
      <c r="K4" s="66"/>
      <c r="N4" s="1" t="s">
        <v>4</v>
      </c>
    </row>
    <row r="5" spans="1:14" ht="16" x14ac:dyDescent="0.2">
      <c r="C5" s="64"/>
      <c r="D5" s="65"/>
      <c r="E5" s="65"/>
      <c r="F5" s="65"/>
      <c r="G5" s="65"/>
      <c r="H5" s="65"/>
      <c r="I5" s="65"/>
      <c r="J5" s="65"/>
      <c r="K5" s="66"/>
      <c r="N5" s="1" t="s">
        <v>5</v>
      </c>
    </row>
    <row r="6" spans="1:14" ht="14" x14ac:dyDescent="0.15">
      <c r="C6" s="64"/>
      <c r="D6" s="65"/>
      <c r="E6" s="65"/>
      <c r="F6" s="65"/>
      <c r="G6" s="65"/>
      <c r="H6" s="65"/>
      <c r="I6" s="65"/>
      <c r="J6" s="65"/>
      <c r="K6" s="66"/>
    </row>
    <row r="7" spans="1:14" ht="14" x14ac:dyDescent="0.15">
      <c r="C7" s="64"/>
      <c r="D7" s="65"/>
      <c r="E7" s="65"/>
      <c r="F7" s="65"/>
      <c r="G7" s="65"/>
      <c r="H7" s="65"/>
      <c r="I7" s="65"/>
      <c r="J7" s="65"/>
      <c r="K7" s="66"/>
    </row>
    <row r="8" spans="1:14" ht="14" x14ac:dyDescent="0.15">
      <c r="C8" s="67"/>
      <c r="D8" s="68"/>
      <c r="E8" s="68"/>
      <c r="F8" s="68"/>
      <c r="G8" s="68"/>
      <c r="H8" s="68"/>
      <c r="I8" s="68"/>
      <c r="J8" s="68"/>
      <c r="K8" s="69"/>
      <c r="M8" s="57" t="s">
        <v>6</v>
      </c>
    </row>
    <row r="12" spans="1:14" ht="19" x14ac:dyDescent="0.25">
      <c r="A12" s="2" t="s">
        <v>7</v>
      </c>
    </row>
    <row r="13" spans="1:14" ht="19" x14ac:dyDescent="0.25">
      <c r="B13" s="3" t="s">
        <v>8</v>
      </c>
    </row>
    <row r="14" spans="1:14" ht="19" x14ac:dyDescent="0.25">
      <c r="B14" s="3" t="s">
        <v>9</v>
      </c>
    </row>
    <row r="16" spans="1:14" ht="17" x14ac:dyDescent="0.2">
      <c r="A16" s="33"/>
    </row>
    <row r="17" spans="1:6" s="32" customFormat="1" ht="17" x14ac:dyDescent="0.2">
      <c r="A17" s="33"/>
      <c r="F17" s="54"/>
    </row>
    <row r="18" spans="1:6" s="32" customFormat="1" ht="17" x14ac:dyDescent="0.2">
      <c r="A18" s="33"/>
    </row>
    <row r="19" spans="1:6" s="32" customFormat="1" ht="19" x14ac:dyDescent="0.25">
      <c r="A19" s="3"/>
    </row>
    <row r="20" spans="1:6" s="32" customFormat="1" ht="19" x14ac:dyDescent="0.25">
      <c r="A20" s="3"/>
    </row>
    <row r="23" spans="1:6" ht="19" x14ac:dyDescent="0.25">
      <c r="A23" s="3"/>
    </row>
    <row r="25" spans="1:6" ht="15.75" customHeight="1" x14ac:dyDescent="0.15"/>
    <row r="26" spans="1:6" ht="15.75" customHeight="1" x14ac:dyDescent="0.15"/>
    <row r="27" spans="1:6" ht="15.75" customHeight="1" x14ac:dyDescent="0.15"/>
    <row r="28" spans="1:6" ht="15.75" customHeight="1" x14ac:dyDescent="0.15"/>
    <row r="29" spans="1:6" ht="15.75" customHeight="1" x14ac:dyDescent="0.15"/>
    <row r="30" spans="1:6" ht="15.75" customHeight="1" x14ac:dyDescent="0.15"/>
    <row r="31" spans="1:6" ht="15.75" customHeight="1" x14ac:dyDescent="0.15"/>
    <row r="32" spans="1:6"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sheetData>
  <mergeCells count="1">
    <mergeCell ref="C1:K8"/>
  </mergeCells>
  <hyperlinks>
    <hyperlink ref="M8" r:id="rId1" xr:uid="{00000000-0004-0000-0000-000000000000}"/>
  </hyperlinks>
  <pageMargins left="0.7" right="0.7" top="0.75" bottom="0.75" header="0" footer="0"/>
  <pageSetup orientation="landscape"/>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putsSheet">
                <anchor moveWithCells="1" sizeWithCells="1">
                  <from>
                    <xdr:col>0</xdr:col>
                    <xdr:colOff>215900</xdr:colOff>
                    <xdr:row>21</xdr:row>
                    <xdr:rowOff>88900</xdr:rowOff>
                  </from>
                  <to>
                    <xdr:col>3</xdr:col>
                    <xdr:colOff>50800</xdr:colOff>
                    <xdr:row>24</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D1001"/>
  <sheetViews>
    <sheetView showGridLines="0" workbookViewId="0">
      <selection activeCell="B4" sqref="B4"/>
    </sheetView>
  </sheetViews>
  <sheetFormatPr baseColWidth="10" defaultColWidth="12.6640625" defaultRowHeight="15" customHeight="1" x14ac:dyDescent="0.15"/>
  <cols>
    <col min="1" max="1" width="35.83203125" customWidth="1"/>
    <col min="2" max="2" width="9.83203125" customWidth="1"/>
    <col min="3" max="3" width="7.6640625" customWidth="1"/>
    <col min="4" max="4" width="83.1640625" customWidth="1"/>
    <col min="5" max="23" width="7.6640625" customWidth="1"/>
  </cols>
  <sheetData>
    <row r="2" spans="1:4" ht="15" customHeight="1" thickBot="1" x14ac:dyDescent="0.2"/>
    <row r="3" spans="1:4" thickBot="1" x14ac:dyDescent="0.2">
      <c r="A3" s="70" t="s">
        <v>11</v>
      </c>
      <c r="B3" s="71"/>
    </row>
    <row r="4" spans="1:4" x14ac:dyDescent="0.2">
      <c r="A4" s="29" t="s">
        <v>12</v>
      </c>
      <c r="B4" s="30" t="s">
        <v>10</v>
      </c>
    </row>
    <row r="5" spans="1:4" x14ac:dyDescent="0.2">
      <c r="A5" s="6" t="s">
        <v>14</v>
      </c>
      <c r="B5" s="7">
        <v>144.84</v>
      </c>
    </row>
    <row r="6" spans="1:4" x14ac:dyDescent="0.2">
      <c r="A6" s="6" t="s">
        <v>15</v>
      </c>
      <c r="B6" s="7">
        <v>150</v>
      </c>
    </row>
    <row r="7" spans="1:4" x14ac:dyDescent="0.2">
      <c r="A7" s="6" t="s">
        <v>16</v>
      </c>
      <c r="B7" s="56">
        <v>1.6E-2</v>
      </c>
    </row>
    <row r="8" spans="1:4" x14ac:dyDescent="0.2">
      <c r="A8" s="6" t="s">
        <v>17</v>
      </c>
      <c r="B8" s="56">
        <v>1.686E-2</v>
      </c>
    </row>
    <row r="9" spans="1:4" x14ac:dyDescent="0.2">
      <c r="A9" s="6" t="s">
        <v>18</v>
      </c>
      <c r="B9" s="8">
        <v>1</v>
      </c>
      <c r="D9" s="4"/>
    </row>
    <row r="10" spans="1:4" x14ac:dyDescent="0.2">
      <c r="A10" s="6" t="s">
        <v>19</v>
      </c>
      <c r="B10" s="53">
        <v>6.25E-2</v>
      </c>
    </row>
    <row r="11" spans="1:4" x14ac:dyDescent="0.2">
      <c r="A11" s="55" t="s">
        <v>48</v>
      </c>
      <c r="B11" s="53">
        <v>6.0000000000000001E-3</v>
      </c>
    </row>
    <row r="12" spans="1:4" x14ac:dyDescent="0.2">
      <c r="A12" s="60" t="s">
        <v>49</v>
      </c>
      <c r="B12" s="59">
        <v>12</v>
      </c>
    </row>
    <row r="13" spans="1:4" x14ac:dyDescent="0.2">
      <c r="B13" s="9"/>
    </row>
    <row r="14" spans="1:4" x14ac:dyDescent="0.2">
      <c r="B14" s="9"/>
    </row>
    <row r="15" spans="1:4" x14ac:dyDescent="0.2">
      <c r="B15" s="9"/>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ht="15.75" customHeight="1" x14ac:dyDescent="0.2">
      <c r="B22" s="9"/>
    </row>
    <row r="23" spans="2:2" ht="15.75" customHeight="1" x14ac:dyDescent="0.2">
      <c r="B23" s="9"/>
    </row>
    <row r="24" spans="2:2" ht="15.75" customHeight="1" x14ac:dyDescent="0.2">
      <c r="B24" s="9"/>
    </row>
    <row r="25" spans="2:2" ht="15.75" customHeight="1" x14ac:dyDescent="0.2">
      <c r="B25" s="9"/>
    </row>
    <row r="26" spans="2:2" ht="15.75" customHeight="1" x14ac:dyDescent="0.2">
      <c r="B26" s="9"/>
    </row>
    <row r="27" spans="2:2" ht="15.75" customHeight="1" x14ac:dyDescent="0.2">
      <c r="B27" s="9"/>
    </row>
    <row r="28" spans="2:2" ht="15.75" customHeight="1" x14ac:dyDescent="0.2">
      <c r="B28" s="9"/>
    </row>
    <row r="29" spans="2:2" ht="15.75" customHeight="1" x14ac:dyDescent="0.2">
      <c r="B29" s="9"/>
    </row>
    <row r="30" spans="2:2" ht="15.75" customHeight="1" x14ac:dyDescent="0.2">
      <c r="B30" s="9"/>
    </row>
    <row r="31" spans="2:2" ht="15.75" customHeight="1" x14ac:dyDescent="0.2">
      <c r="B31" s="9"/>
    </row>
    <row r="32" spans="2:2" ht="15.75" customHeight="1" x14ac:dyDescent="0.2">
      <c r="B32" s="9"/>
    </row>
    <row r="33" spans="2:2" ht="15.75" customHeight="1" x14ac:dyDescent="0.2">
      <c r="B33" s="9"/>
    </row>
    <row r="34" spans="2:2" ht="15.75" customHeight="1" x14ac:dyDescent="0.2">
      <c r="B34" s="9"/>
    </row>
    <row r="35" spans="2:2" ht="15.75" customHeight="1" x14ac:dyDescent="0.2">
      <c r="B35" s="9"/>
    </row>
    <row r="36" spans="2:2" ht="15.75" customHeight="1" x14ac:dyDescent="0.2">
      <c r="B36" s="9"/>
    </row>
    <row r="37" spans="2:2" ht="15.75" customHeight="1" x14ac:dyDescent="0.2">
      <c r="B37" s="9"/>
    </row>
    <row r="38" spans="2:2" ht="15.75" customHeight="1" x14ac:dyDescent="0.2">
      <c r="B38" s="9"/>
    </row>
    <row r="39" spans="2:2" ht="15.75" customHeight="1" x14ac:dyDescent="0.2">
      <c r="B39" s="9"/>
    </row>
    <row r="40" spans="2:2" ht="15.75" customHeight="1" x14ac:dyDescent="0.2">
      <c r="B40" s="9"/>
    </row>
    <row r="41" spans="2:2" ht="15.75" customHeight="1" x14ac:dyDescent="0.2">
      <c r="B41" s="9"/>
    </row>
    <row r="42" spans="2:2" ht="15.75" customHeight="1" x14ac:dyDescent="0.2">
      <c r="B42" s="9"/>
    </row>
    <row r="43" spans="2:2" ht="15.75" customHeight="1" x14ac:dyDescent="0.2">
      <c r="B43" s="9"/>
    </row>
    <row r="44" spans="2:2" ht="15.75" customHeight="1" x14ac:dyDescent="0.2">
      <c r="B44" s="9"/>
    </row>
    <row r="45" spans="2:2" ht="15.75" customHeight="1" x14ac:dyDescent="0.2">
      <c r="B45" s="9"/>
    </row>
    <row r="46" spans="2:2" ht="15.75" customHeight="1" x14ac:dyDescent="0.2">
      <c r="B46" s="9"/>
    </row>
    <row r="47" spans="2:2" ht="15.75" customHeight="1" x14ac:dyDescent="0.2">
      <c r="B47" s="9"/>
    </row>
    <row r="48" spans="2:2" ht="15.75" customHeight="1" x14ac:dyDescent="0.2">
      <c r="B48" s="9"/>
    </row>
    <row r="49" spans="2:2" ht="15.75" customHeight="1" x14ac:dyDescent="0.2">
      <c r="B49" s="9"/>
    </row>
    <row r="50" spans="2:2" ht="15.75" customHeight="1" x14ac:dyDescent="0.2">
      <c r="B50" s="9"/>
    </row>
    <row r="51" spans="2:2" ht="15.75" customHeight="1" x14ac:dyDescent="0.2">
      <c r="B51" s="9"/>
    </row>
    <row r="52" spans="2:2" ht="15.75" customHeight="1" x14ac:dyDescent="0.2">
      <c r="B52" s="9"/>
    </row>
    <row r="53" spans="2:2" ht="15.75" customHeight="1" x14ac:dyDescent="0.2">
      <c r="B53" s="9"/>
    </row>
    <row r="54" spans="2:2" ht="15.75" customHeight="1" x14ac:dyDescent="0.2">
      <c r="B54" s="9"/>
    </row>
    <row r="55" spans="2:2" ht="15.75" customHeight="1" x14ac:dyDescent="0.2">
      <c r="B55" s="9"/>
    </row>
    <row r="56" spans="2:2" ht="15.75" customHeight="1" x14ac:dyDescent="0.2">
      <c r="B56" s="9"/>
    </row>
    <row r="57" spans="2:2" ht="15.75" customHeight="1" x14ac:dyDescent="0.2">
      <c r="B57" s="9"/>
    </row>
    <row r="58" spans="2:2" ht="15.75" customHeight="1" x14ac:dyDescent="0.2">
      <c r="B58" s="9"/>
    </row>
    <row r="59" spans="2:2" ht="15.75" customHeight="1" x14ac:dyDescent="0.2">
      <c r="B59" s="9"/>
    </row>
    <row r="60" spans="2:2" ht="15.75" customHeight="1" x14ac:dyDescent="0.2">
      <c r="B60" s="9"/>
    </row>
    <row r="61" spans="2:2" ht="15.75" customHeight="1" x14ac:dyDescent="0.2">
      <c r="B61" s="9"/>
    </row>
    <row r="62" spans="2:2" ht="15.75" customHeight="1" x14ac:dyDescent="0.2">
      <c r="B62" s="9"/>
    </row>
    <row r="63" spans="2:2" ht="15.75" customHeight="1" x14ac:dyDescent="0.2">
      <c r="B63" s="9"/>
    </row>
    <row r="64" spans="2:2" ht="15.75" customHeight="1" x14ac:dyDescent="0.2">
      <c r="B64" s="9"/>
    </row>
    <row r="65" spans="2:2" ht="15.75" customHeight="1" x14ac:dyDescent="0.2">
      <c r="B65" s="9"/>
    </row>
    <row r="66" spans="2:2" ht="15.75" customHeight="1" x14ac:dyDescent="0.2">
      <c r="B66" s="9"/>
    </row>
    <row r="67" spans="2:2" ht="15.75" customHeight="1" x14ac:dyDescent="0.2">
      <c r="B67" s="9"/>
    </row>
    <row r="68" spans="2:2" ht="15.75" customHeight="1" x14ac:dyDescent="0.2">
      <c r="B68" s="9"/>
    </row>
    <row r="69" spans="2:2" ht="15.75" customHeight="1" x14ac:dyDescent="0.2">
      <c r="B69" s="9"/>
    </row>
    <row r="70" spans="2:2" ht="15.75" customHeight="1" x14ac:dyDescent="0.2">
      <c r="B70" s="9"/>
    </row>
    <row r="71" spans="2:2" ht="15.75" customHeight="1" x14ac:dyDescent="0.2">
      <c r="B71" s="9"/>
    </row>
    <row r="72" spans="2:2" ht="15.75" customHeight="1" x14ac:dyDescent="0.2">
      <c r="B72" s="9"/>
    </row>
    <row r="73" spans="2:2" ht="15.75" customHeight="1" x14ac:dyDescent="0.2">
      <c r="B73" s="9"/>
    </row>
    <row r="74" spans="2:2" ht="15.75" customHeight="1" x14ac:dyDescent="0.2">
      <c r="B74" s="9"/>
    </row>
    <row r="75" spans="2:2" ht="15.75" customHeight="1" x14ac:dyDescent="0.2">
      <c r="B75" s="9"/>
    </row>
    <row r="76" spans="2:2" ht="15.75" customHeight="1" x14ac:dyDescent="0.2">
      <c r="B76" s="9"/>
    </row>
    <row r="77" spans="2:2" ht="15.75" customHeight="1" x14ac:dyDescent="0.2">
      <c r="B77" s="9"/>
    </row>
    <row r="78" spans="2:2" ht="15.75" customHeight="1" x14ac:dyDescent="0.2">
      <c r="B78" s="9"/>
    </row>
    <row r="79" spans="2:2" ht="15.75" customHeight="1" x14ac:dyDescent="0.2">
      <c r="B79" s="9"/>
    </row>
    <row r="80" spans="2:2" ht="15.75" customHeight="1" x14ac:dyDescent="0.2">
      <c r="B80" s="9"/>
    </row>
    <row r="81" spans="2:2" ht="15.75" customHeight="1" x14ac:dyDescent="0.2">
      <c r="B81" s="9"/>
    </row>
    <row r="82" spans="2:2" ht="15.75" customHeight="1" x14ac:dyDescent="0.2">
      <c r="B82" s="9"/>
    </row>
    <row r="83" spans="2:2" ht="15.75" customHeight="1" x14ac:dyDescent="0.2">
      <c r="B83" s="9"/>
    </row>
    <row r="84" spans="2:2" ht="15.75" customHeight="1" x14ac:dyDescent="0.2">
      <c r="B84" s="9"/>
    </row>
    <row r="85" spans="2:2" ht="15.75" customHeight="1" x14ac:dyDescent="0.2">
      <c r="B85" s="9"/>
    </row>
    <row r="86" spans="2:2" ht="15.75" customHeight="1" x14ac:dyDescent="0.2">
      <c r="B86" s="9"/>
    </row>
    <row r="87" spans="2:2" ht="15.75" customHeight="1" x14ac:dyDescent="0.2">
      <c r="B87" s="9"/>
    </row>
    <row r="88" spans="2:2" ht="15.75" customHeight="1" x14ac:dyDescent="0.2">
      <c r="B88" s="9"/>
    </row>
    <row r="89" spans="2:2" ht="15.75" customHeight="1" x14ac:dyDescent="0.2">
      <c r="B89" s="9"/>
    </row>
    <row r="90" spans="2:2" ht="15.75" customHeight="1" x14ac:dyDescent="0.2">
      <c r="B90" s="9"/>
    </row>
    <row r="91" spans="2:2" ht="15.75" customHeight="1" x14ac:dyDescent="0.2">
      <c r="B91" s="9"/>
    </row>
    <row r="92" spans="2:2" ht="15.75" customHeight="1" x14ac:dyDescent="0.2">
      <c r="B92" s="9"/>
    </row>
    <row r="93" spans="2:2" ht="15.75" customHeight="1" x14ac:dyDescent="0.2">
      <c r="B93" s="9"/>
    </row>
    <row r="94" spans="2:2" ht="15.75" customHeight="1" x14ac:dyDescent="0.2">
      <c r="B94" s="9"/>
    </row>
    <row r="95" spans="2:2" ht="15.75" customHeight="1" x14ac:dyDescent="0.2">
      <c r="B95" s="9"/>
    </row>
    <row r="96" spans="2:2" ht="15.75" customHeight="1" x14ac:dyDescent="0.2">
      <c r="B96" s="9"/>
    </row>
    <row r="97" spans="2:2" ht="15.75" customHeight="1" x14ac:dyDescent="0.2">
      <c r="B97" s="9"/>
    </row>
    <row r="98" spans="2:2" ht="15.75" customHeight="1" x14ac:dyDescent="0.2">
      <c r="B98" s="9"/>
    </row>
    <row r="99" spans="2:2" ht="15.75" customHeight="1" x14ac:dyDescent="0.2">
      <c r="B99" s="9"/>
    </row>
    <row r="100" spans="2:2" ht="15.75" customHeight="1" x14ac:dyDescent="0.2">
      <c r="B100" s="9"/>
    </row>
    <row r="101" spans="2:2" ht="15.75" customHeight="1" x14ac:dyDescent="0.2">
      <c r="B101" s="9"/>
    </row>
    <row r="102" spans="2:2" ht="15.75" customHeight="1" x14ac:dyDescent="0.2">
      <c r="B102" s="9"/>
    </row>
    <row r="103" spans="2:2" ht="15.75" customHeight="1" x14ac:dyDescent="0.2">
      <c r="B103" s="9"/>
    </row>
    <row r="104" spans="2:2" ht="15.75" customHeight="1" x14ac:dyDescent="0.2">
      <c r="B104" s="9"/>
    </row>
    <row r="105" spans="2:2" ht="15.75" customHeight="1" x14ac:dyDescent="0.2">
      <c r="B105" s="9"/>
    </row>
    <row r="106" spans="2:2" ht="15.75" customHeight="1" x14ac:dyDescent="0.2">
      <c r="B106" s="9"/>
    </row>
    <row r="107" spans="2:2" ht="15.75" customHeight="1" x14ac:dyDescent="0.2">
      <c r="B107" s="9"/>
    </row>
    <row r="108" spans="2:2" ht="15.75" customHeight="1" x14ac:dyDescent="0.2">
      <c r="B108" s="9"/>
    </row>
    <row r="109" spans="2:2" ht="15.75" customHeight="1" x14ac:dyDescent="0.2">
      <c r="B109" s="9"/>
    </row>
    <row r="110" spans="2:2" ht="15.75" customHeight="1" x14ac:dyDescent="0.2">
      <c r="B110" s="9"/>
    </row>
    <row r="111" spans="2:2" ht="15.75" customHeight="1" x14ac:dyDescent="0.2">
      <c r="B111" s="9"/>
    </row>
    <row r="112" spans="2:2" ht="15.75" customHeight="1" x14ac:dyDescent="0.2">
      <c r="B112" s="9"/>
    </row>
    <row r="113" spans="2:2" ht="15.75" customHeight="1" x14ac:dyDescent="0.2">
      <c r="B113" s="9"/>
    </row>
    <row r="114" spans="2:2" ht="15.75" customHeight="1" x14ac:dyDescent="0.2">
      <c r="B114" s="9"/>
    </row>
    <row r="115" spans="2:2" ht="15.75" customHeight="1" x14ac:dyDescent="0.2">
      <c r="B115" s="9"/>
    </row>
    <row r="116" spans="2:2" ht="15.75" customHeight="1" x14ac:dyDescent="0.2">
      <c r="B116" s="9"/>
    </row>
    <row r="117" spans="2:2" ht="15.75" customHeight="1" x14ac:dyDescent="0.2">
      <c r="B117" s="9"/>
    </row>
    <row r="118" spans="2:2" ht="15.75" customHeight="1" x14ac:dyDescent="0.2">
      <c r="B118" s="9"/>
    </row>
    <row r="119" spans="2:2" ht="15.75" customHeight="1" x14ac:dyDescent="0.2">
      <c r="B119" s="9"/>
    </row>
    <row r="120" spans="2:2" ht="15.75" customHeight="1" x14ac:dyDescent="0.2">
      <c r="B120" s="9"/>
    </row>
    <row r="121" spans="2:2" ht="15.75" customHeight="1" x14ac:dyDescent="0.2">
      <c r="B121" s="9"/>
    </row>
    <row r="122" spans="2:2" ht="15.75" customHeight="1" x14ac:dyDescent="0.2">
      <c r="B122" s="9"/>
    </row>
    <row r="123" spans="2:2" ht="15.75" customHeight="1" x14ac:dyDescent="0.2">
      <c r="B123" s="9"/>
    </row>
    <row r="124" spans="2:2" ht="15.75" customHeight="1" x14ac:dyDescent="0.2">
      <c r="B124" s="9"/>
    </row>
    <row r="125" spans="2:2" ht="15.75" customHeight="1" x14ac:dyDescent="0.2">
      <c r="B125" s="9"/>
    </row>
    <row r="126" spans="2:2" ht="15.75" customHeight="1" x14ac:dyDescent="0.2">
      <c r="B126" s="9"/>
    </row>
    <row r="127" spans="2:2" ht="15.75" customHeight="1" x14ac:dyDescent="0.2">
      <c r="B127" s="9"/>
    </row>
    <row r="128" spans="2:2" ht="15.75" customHeight="1" x14ac:dyDescent="0.2">
      <c r="B128" s="9"/>
    </row>
    <row r="129" spans="2:2" ht="15.75" customHeight="1" x14ac:dyDescent="0.2">
      <c r="B129" s="9"/>
    </row>
    <row r="130" spans="2:2" ht="15.75" customHeight="1" x14ac:dyDescent="0.2">
      <c r="B130" s="9"/>
    </row>
    <row r="131" spans="2:2" ht="15.75" customHeight="1" x14ac:dyDescent="0.2">
      <c r="B131" s="9"/>
    </row>
    <row r="132" spans="2:2" ht="15.75" customHeight="1" x14ac:dyDescent="0.2">
      <c r="B132" s="9"/>
    </row>
    <row r="133" spans="2:2" ht="15.75" customHeight="1" x14ac:dyDescent="0.2">
      <c r="B133" s="9"/>
    </row>
    <row r="134" spans="2:2" ht="15.75" customHeight="1" x14ac:dyDescent="0.2">
      <c r="B134" s="9"/>
    </row>
    <row r="135" spans="2:2" ht="15.75" customHeight="1" x14ac:dyDescent="0.2">
      <c r="B135" s="9"/>
    </row>
    <row r="136" spans="2:2" ht="15.75" customHeight="1" x14ac:dyDescent="0.2">
      <c r="B136" s="9"/>
    </row>
    <row r="137" spans="2:2" ht="15.75" customHeight="1" x14ac:dyDescent="0.2">
      <c r="B137" s="9"/>
    </row>
    <row r="138" spans="2:2" ht="15.75" customHeight="1" x14ac:dyDescent="0.2">
      <c r="B138" s="9"/>
    </row>
    <row r="139" spans="2:2" ht="15.75" customHeight="1" x14ac:dyDescent="0.2">
      <c r="B139" s="9"/>
    </row>
    <row r="140" spans="2:2" ht="15.75" customHeight="1" x14ac:dyDescent="0.2">
      <c r="B140" s="9"/>
    </row>
    <row r="141" spans="2:2" ht="15.75" customHeight="1" x14ac:dyDescent="0.2">
      <c r="B141" s="9"/>
    </row>
    <row r="142" spans="2:2" ht="15.75" customHeight="1" x14ac:dyDescent="0.2">
      <c r="B142" s="9"/>
    </row>
    <row r="143" spans="2:2" ht="15.75" customHeight="1" x14ac:dyDescent="0.2">
      <c r="B143" s="9"/>
    </row>
    <row r="144" spans="2:2" ht="15.75" customHeight="1" x14ac:dyDescent="0.2">
      <c r="B144" s="9"/>
    </row>
    <row r="145" spans="2:2" ht="15.75" customHeight="1" x14ac:dyDescent="0.2">
      <c r="B145" s="9"/>
    </row>
    <row r="146" spans="2:2" ht="15.75" customHeight="1" x14ac:dyDescent="0.2">
      <c r="B146" s="9"/>
    </row>
    <row r="147" spans="2:2" ht="15.75" customHeight="1" x14ac:dyDescent="0.2">
      <c r="B147" s="9"/>
    </row>
    <row r="148" spans="2:2" ht="15.75" customHeight="1" x14ac:dyDescent="0.2">
      <c r="B148" s="9"/>
    </row>
    <row r="149" spans="2:2" ht="15.75" customHeight="1" x14ac:dyDescent="0.2">
      <c r="B149" s="9"/>
    </row>
    <row r="150" spans="2:2" ht="15.75" customHeight="1" x14ac:dyDescent="0.2">
      <c r="B150" s="9"/>
    </row>
    <row r="151" spans="2:2" ht="15.75" customHeight="1" x14ac:dyDescent="0.2">
      <c r="B151" s="9"/>
    </row>
    <row r="152" spans="2:2" ht="15.75" customHeight="1" x14ac:dyDescent="0.2">
      <c r="B152" s="9"/>
    </row>
    <row r="153" spans="2:2" ht="15.75" customHeight="1" x14ac:dyDescent="0.2">
      <c r="B153" s="9"/>
    </row>
    <row r="154" spans="2:2" ht="15.75" customHeight="1" x14ac:dyDescent="0.2">
      <c r="B154" s="9"/>
    </row>
    <row r="155" spans="2:2" ht="15.75" customHeight="1" x14ac:dyDescent="0.2">
      <c r="B155" s="9"/>
    </row>
    <row r="156" spans="2:2" ht="15.75" customHeight="1" x14ac:dyDescent="0.2">
      <c r="B156" s="9"/>
    </row>
    <row r="157" spans="2:2" ht="15.75" customHeight="1" x14ac:dyDescent="0.2">
      <c r="B157" s="9"/>
    </row>
    <row r="158" spans="2:2" ht="15.75" customHeight="1" x14ac:dyDescent="0.2">
      <c r="B158" s="9"/>
    </row>
    <row r="159" spans="2:2" ht="15.75" customHeight="1" x14ac:dyDescent="0.2">
      <c r="B159" s="9"/>
    </row>
    <row r="160" spans="2:2" ht="15.75" customHeight="1" x14ac:dyDescent="0.2">
      <c r="B160" s="9"/>
    </row>
    <row r="161" spans="2:2" ht="15.75" customHeight="1" x14ac:dyDescent="0.2">
      <c r="B161" s="9"/>
    </row>
    <row r="162" spans="2:2" ht="15.75" customHeight="1" x14ac:dyDescent="0.2">
      <c r="B162" s="9"/>
    </row>
    <row r="163" spans="2:2" ht="15.75" customHeight="1" x14ac:dyDescent="0.2">
      <c r="B163" s="9"/>
    </row>
    <row r="164" spans="2:2" ht="15.75" customHeight="1" x14ac:dyDescent="0.2">
      <c r="B164" s="9"/>
    </row>
    <row r="165" spans="2:2" ht="15.75" customHeight="1" x14ac:dyDescent="0.2">
      <c r="B165" s="9"/>
    </row>
    <row r="166" spans="2:2" ht="15.75" customHeight="1" x14ac:dyDescent="0.2">
      <c r="B166" s="9"/>
    </row>
    <row r="167" spans="2:2" ht="15.75" customHeight="1" x14ac:dyDescent="0.2">
      <c r="B167" s="9"/>
    </row>
    <row r="168" spans="2:2" ht="15.75" customHeight="1" x14ac:dyDescent="0.2">
      <c r="B168" s="9"/>
    </row>
    <row r="169" spans="2:2" ht="15.75" customHeight="1" x14ac:dyDescent="0.2">
      <c r="B169" s="9"/>
    </row>
    <row r="170" spans="2:2" ht="15.75" customHeight="1" x14ac:dyDescent="0.2">
      <c r="B170" s="9"/>
    </row>
    <row r="171" spans="2:2" ht="15.75" customHeight="1" x14ac:dyDescent="0.2">
      <c r="B171" s="9"/>
    </row>
    <row r="172" spans="2:2" ht="15.75" customHeight="1" x14ac:dyDescent="0.2">
      <c r="B172" s="9"/>
    </row>
    <row r="173" spans="2:2" ht="15.75" customHeight="1" x14ac:dyDescent="0.2">
      <c r="B173" s="9"/>
    </row>
    <row r="174" spans="2:2" ht="15.75" customHeight="1" x14ac:dyDescent="0.2">
      <c r="B174" s="9"/>
    </row>
    <row r="175" spans="2:2" ht="15.75" customHeight="1" x14ac:dyDescent="0.2">
      <c r="B175" s="9"/>
    </row>
    <row r="176" spans="2:2" ht="15.75" customHeight="1" x14ac:dyDescent="0.2">
      <c r="B176" s="9"/>
    </row>
    <row r="177" spans="2:2" ht="15.75" customHeight="1" x14ac:dyDescent="0.2">
      <c r="B177" s="9"/>
    </row>
    <row r="178" spans="2:2" ht="15.75" customHeight="1" x14ac:dyDescent="0.2">
      <c r="B178" s="9"/>
    </row>
    <row r="179" spans="2:2" ht="15.75" customHeight="1" x14ac:dyDescent="0.2">
      <c r="B179" s="9"/>
    </row>
    <row r="180" spans="2:2" ht="15.75" customHeight="1" x14ac:dyDescent="0.2">
      <c r="B180" s="9"/>
    </row>
    <row r="181" spans="2:2" ht="15.75" customHeight="1" x14ac:dyDescent="0.2">
      <c r="B181" s="9"/>
    </row>
    <row r="182" spans="2:2" ht="15.75" customHeight="1" x14ac:dyDescent="0.2">
      <c r="B182" s="9"/>
    </row>
    <row r="183" spans="2:2" ht="15.75" customHeight="1" x14ac:dyDescent="0.2">
      <c r="B183" s="9"/>
    </row>
    <row r="184" spans="2:2" ht="15.75" customHeight="1" x14ac:dyDescent="0.2">
      <c r="B184" s="9"/>
    </row>
    <row r="185" spans="2:2" ht="15.75" customHeight="1" x14ac:dyDescent="0.2">
      <c r="B185" s="9"/>
    </row>
    <row r="186" spans="2:2" ht="15.75" customHeight="1" x14ac:dyDescent="0.2">
      <c r="B186" s="9"/>
    </row>
    <row r="187" spans="2:2" ht="15.75" customHeight="1" x14ac:dyDescent="0.2">
      <c r="B187" s="9"/>
    </row>
    <row r="188" spans="2:2" ht="15.75" customHeight="1" x14ac:dyDescent="0.2">
      <c r="B188" s="9"/>
    </row>
    <row r="189" spans="2:2" ht="15.75" customHeight="1" x14ac:dyDescent="0.2">
      <c r="B189" s="9"/>
    </row>
    <row r="190" spans="2:2" ht="15.75" customHeight="1" x14ac:dyDescent="0.2">
      <c r="B190" s="9"/>
    </row>
    <row r="191" spans="2:2" ht="15.75" customHeight="1" x14ac:dyDescent="0.2">
      <c r="B191" s="9"/>
    </row>
    <row r="192" spans="2:2" ht="15.75" customHeight="1" x14ac:dyDescent="0.2">
      <c r="B192" s="9"/>
    </row>
    <row r="193" spans="2:2" ht="15.75" customHeight="1" x14ac:dyDescent="0.2">
      <c r="B193" s="9"/>
    </row>
    <row r="194" spans="2:2" ht="15.75" customHeight="1" x14ac:dyDescent="0.2">
      <c r="B194" s="9"/>
    </row>
    <row r="195" spans="2:2" ht="15.75" customHeight="1" x14ac:dyDescent="0.2">
      <c r="B195" s="9"/>
    </row>
    <row r="196" spans="2:2" ht="15.75" customHeight="1" x14ac:dyDescent="0.2">
      <c r="B196" s="9"/>
    </row>
    <row r="197" spans="2:2" ht="15.75" customHeight="1" x14ac:dyDescent="0.2">
      <c r="B197" s="9"/>
    </row>
    <row r="198" spans="2:2" ht="15.75" customHeight="1" x14ac:dyDescent="0.2">
      <c r="B198" s="9"/>
    </row>
    <row r="199" spans="2:2" ht="15.75" customHeight="1" x14ac:dyDescent="0.2">
      <c r="B199" s="9"/>
    </row>
    <row r="200" spans="2:2" ht="15.75" customHeight="1" x14ac:dyDescent="0.2">
      <c r="B200" s="9"/>
    </row>
    <row r="201" spans="2:2" ht="15.75" customHeight="1" x14ac:dyDescent="0.2">
      <c r="B201" s="9"/>
    </row>
    <row r="202" spans="2:2" ht="15.75" customHeight="1" x14ac:dyDescent="0.2">
      <c r="B202" s="9"/>
    </row>
    <row r="203" spans="2:2" ht="15.75" customHeight="1" x14ac:dyDescent="0.2">
      <c r="B203" s="9"/>
    </row>
    <row r="204" spans="2:2" ht="15.75" customHeight="1" x14ac:dyDescent="0.2">
      <c r="B204" s="9"/>
    </row>
    <row r="205" spans="2:2" ht="15.75" customHeight="1" x14ac:dyDescent="0.2">
      <c r="B205" s="9"/>
    </row>
    <row r="206" spans="2:2" ht="15.75" customHeight="1" x14ac:dyDescent="0.2">
      <c r="B206" s="9"/>
    </row>
    <row r="207" spans="2:2" ht="15.75" customHeight="1" x14ac:dyDescent="0.2">
      <c r="B207" s="9"/>
    </row>
    <row r="208" spans="2:2" ht="15.75" customHeight="1" x14ac:dyDescent="0.2">
      <c r="B208" s="9"/>
    </row>
    <row r="209" spans="2:2" ht="15.75" customHeight="1" x14ac:dyDescent="0.2">
      <c r="B209" s="9"/>
    </row>
    <row r="210" spans="2:2" ht="15.75" customHeight="1" x14ac:dyDescent="0.2">
      <c r="B210" s="9"/>
    </row>
    <row r="211" spans="2:2" ht="15.75" customHeight="1" x14ac:dyDescent="0.2">
      <c r="B211" s="9"/>
    </row>
    <row r="212" spans="2:2" ht="15.75" customHeight="1" x14ac:dyDescent="0.2">
      <c r="B212" s="9"/>
    </row>
    <row r="213" spans="2:2" ht="15.75" customHeight="1" x14ac:dyDescent="0.2">
      <c r="B213" s="9"/>
    </row>
    <row r="214" spans="2:2" ht="15.75" customHeight="1" x14ac:dyDescent="0.2">
      <c r="B214" s="9"/>
    </row>
    <row r="215" spans="2:2" ht="15.75" customHeight="1" x14ac:dyDescent="0.2">
      <c r="B215" s="9"/>
    </row>
    <row r="216" spans="2:2" ht="15.75" customHeight="1" x14ac:dyDescent="0.2">
      <c r="B216" s="9"/>
    </row>
    <row r="217" spans="2:2" ht="15.75" customHeight="1" x14ac:dyDescent="0.2">
      <c r="B217" s="9"/>
    </row>
    <row r="218" spans="2:2" ht="15.75" customHeight="1" x14ac:dyDescent="0.2">
      <c r="B218" s="9"/>
    </row>
    <row r="219" spans="2:2" ht="15.75" customHeight="1" x14ac:dyDescent="0.2">
      <c r="B219" s="9"/>
    </row>
    <row r="220" spans="2:2" ht="15.75" customHeight="1" x14ac:dyDescent="0.2">
      <c r="B220" s="9"/>
    </row>
    <row r="221" spans="2:2" ht="15.75" customHeight="1" x14ac:dyDescent="0.2">
      <c r="B221" s="9"/>
    </row>
    <row r="222" spans="2:2" ht="15.75" customHeight="1" x14ac:dyDescent="0.2">
      <c r="B222" s="9"/>
    </row>
    <row r="223" spans="2:2" ht="15.75" customHeight="1" x14ac:dyDescent="0.2">
      <c r="B223" s="9"/>
    </row>
    <row r="224" spans="2:2" ht="15.75" customHeight="1" x14ac:dyDescent="0.2">
      <c r="B224" s="9"/>
    </row>
    <row r="225" spans="2:2" ht="15.75" customHeight="1" x14ac:dyDescent="0.2">
      <c r="B225" s="9"/>
    </row>
    <row r="226" spans="2:2" ht="15.75" customHeight="1" x14ac:dyDescent="0.2">
      <c r="B226" s="9"/>
    </row>
    <row r="227" spans="2:2" ht="15.75" customHeight="1" x14ac:dyDescent="0.2">
      <c r="B227" s="9"/>
    </row>
    <row r="228" spans="2:2" ht="15.75" customHeight="1" x14ac:dyDescent="0.2">
      <c r="B228" s="9"/>
    </row>
    <row r="229" spans="2:2" ht="15.75" customHeight="1" x14ac:dyDescent="0.2">
      <c r="B229" s="9"/>
    </row>
    <row r="230" spans="2:2" ht="15.75" customHeight="1" x14ac:dyDescent="0.2">
      <c r="B230" s="9"/>
    </row>
    <row r="231" spans="2:2" ht="15.75" customHeight="1" x14ac:dyDescent="0.2">
      <c r="B231" s="9"/>
    </row>
    <row r="232" spans="2:2" ht="15.75" customHeight="1" x14ac:dyDescent="0.2">
      <c r="B232" s="9"/>
    </row>
    <row r="233" spans="2:2" ht="15.75" customHeight="1" x14ac:dyDescent="0.2">
      <c r="B233" s="9"/>
    </row>
    <row r="234" spans="2:2" ht="15.75" customHeight="1" x14ac:dyDescent="0.2">
      <c r="B234" s="9"/>
    </row>
    <row r="235" spans="2:2" ht="15.75" customHeight="1" x14ac:dyDescent="0.2">
      <c r="B235" s="9"/>
    </row>
    <row r="236" spans="2:2" ht="15.75" customHeight="1" x14ac:dyDescent="0.2">
      <c r="B236" s="9"/>
    </row>
    <row r="237" spans="2:2" ht="15.75" customHeight="1" x14ac:dyDescent="0.2">
      <c r="B237" s="9"/>
    </row>
    <row r="238" spans="2:2" ht="15.75" customHeight="1" x14ac:dyDescent="0.2">
      <c r="B238" s="9"/>
    </row>
    <row r="239" spans="2:2" ht="15.75" customHeight="1" x14ac:dyDescent="0.2">
      <c r="B239" s="9"/>
    </row>
    <row r="240" spans="2:2" ht="15.75" customHeight="1" x14ac:dyDescent="0.2">
      <c r="B240" s="9"/>
    </row>
    <row r="241" spans="2:2" ht="15.75" customHeight="1" x14ac:dyDescent="0.2">
      <c r="B241" s="9"/>
    </row>
    <row r="242" spans="2:2" ht="15.75" customHeight="1" x14ac:dyDescent="0.2">
      <c r="B242" s="9"/>
    </row>
    <row r="243" spans="2:2" ht="15.75" customHeight="1" x14ac:dyDescent="0.2">
      <c r="B243" s="9"/>
    </row>
    <row r="244" spans="2:2" ht="15.75" customHeight="1" x14ac:dyDescent="0.2">
      <c r="B244" s="9"/>
    </row>
    <row r="245" spans="2:2" ht="15.75" customHeight="1" x14ac:dyDescent="0.2">
      <c r="B245" s="9"/>
    </row>
    <row r="246" spans="2:2" ht="15.75" customHeight="1" x14ac:dyDescent="0.2">
      <c r="B246" s="9"/>
    </row>
    <row r="247" spans="2:2" ht="15.75" customHeight="1" x14ac:dyDescent="0.2">
      <c r="B247" s="9"/>
    </row>
    <row r="248" spans="2:2" ht="15.75" customHeight="1" x14ac:dyDescent="0.2">
      <c r="B248" s="9"/>
    </row>
    <row r="249" spans="2:2" ht="15.75" customHeight="1" x14ac:dyDescent="0.2">
      <c r="B249" s="9"/>
    </row>
    <row r="250" spans="2:2" ht="15.75" customHeight="1" x14ac:dyDescent="0.2">
      <c r="B250" s="9"/>
    </row>
    <row r="251" spans="2:2" ht="15.75" customHeight="1" x14ac:dyDescent="0.2">
      <c r="B251" s="9"/>
    </row>
    <row r="252" spans="2:2" ht="15.75" customHeight="1" x14ac:dyDescent="0.2">
      <c r="B252" s="9"/>
    </row>
    <row r="253" spans="2:2" ht="15.75" customHeight="1" x14ac:dyDescent="0.2">
      <c r="B253" s="9"/>
    </row>
    <row r="254" spans="2:2" ht="15.75" customHeight="1" x14ac:dyDescent="0.2">
      <c r="B254" s="9"/>
    </row>
    <row r="255" spans="2:2" ht="15.75" customHeight="1" x14ac:dyDescent="0.2">
      <c r="B255" s="9"/>
    </row>
    <row r="256" spans="2:2" ht="15.75" customHeight="1" x14ac:dyDescent="0.2">
      <c r="B256" s="9"/>
    </row>
    <row r="257" spans="2:2" ht="15.75" customHeight="1" x14ac:dyDescent="0.2">
      <c r="B257" s="9"/>
    </row>
    <row r="258" spans="2:2" ht="15.75" customHeight="1" x14ac:dyDescent="0.2">
      <c r="B258" s="9"/>
    </row>
    <row r="259" spans="2:2" ht="15.75" customHeight="1" x14ac:dyDescent="0.2">
      <c r="B259" s="9"/>
    </row>
    <row r="260" spans="2:2" ht="15.75" customHeight="1" x14ac:dyDescent="0.2">
      <c r="B260" s="9"/>
    </row>
    <row r="261" spans="2:2" ht="15.75" customHeight="1" x14ac:dyDescent="0.2">
      <c r="B261" s="9"/>
    </row>
    <row r="262" spans="2:2" ht="15.75" customHeight="1" x14ac:dyDescent="0.2">
      <c r="B262" s="9"/>
    </row>
    <row r="263" spans="2:2" ht="15.75" customHeight="1" x14ac:dyDescent="0.2">
      <c r="B263" s="9"/>
    </row>
    <row r="264" spans="2:2" ht="15.75" customHeight="1" x14ac:dyDescent="0.2">
      <c r="B264" s="9"/>
    </row>
    <row r="265" spans="2:2" ht="15.75" customHeight="1" x14ac:dyDescent="0.2">
      <c r="B265" s="9"/>
    </row>
    <row r="266" spans="2:2" ht="15.75" customHeight="1" x14ac:dyDescent="0.2">
      <c r="B266" s="9"/>
    </row>
    <row r="267" spans="2:2" ht="15.75" customHeight="1" x14ac:dyDescent="0.2">
      <c r="B267" s="9"/>
    </row>
    <row r="268" spans="2:2" ht="15.75" customHeight="1" x14ac:dyDescent="0.2">
      <c r="B268" s="9"/>
    </row>
    <row r="269" spans="2:2" ht="15.75" customHeight="1" x14ac:dyDescent="0.2">
      <c r="B269" s="9"/>
    </row>
    <row r="270" spans="2:2" ht="15.75" customHeight="1" x14ac:dyDescent="0.2">
      <c r="B270" s="9"/>
    </row>
    <row r="271" spans="2:2" ht="15.75" customHeight="1" x14ac:dyDescent="0.2">
      <c r="B271" s="9"/>
    </row>
    <row r="272" spans="2:2" ht="15.75" customHeight="1" x14ac:dyDescent="0.2">
      <c r="B272" s="9"/>
    </row>
    <row r="273" spans="2:2" ht="15.75" customHeight="1" x14ac:dyDescent="0.2">
      <c r="B273" s="9"/>
    </row>
    <row r="274" spans="2:2" ht="15.75" customHeight="1" x14ac:dyDescent="0.2">
      <c r="B274" s="9"/>
    </row>
    <row r="275" spans="2:2" ht="15.75" customHeight="1" x14ac:dyDescent="0.2">
      <c r="B275" s="9"/>
    </row>
    <row r="276" spans="2:2" ht="15.75" customHeight="1" x14ac:dyDescent="0.2">
      <c r="B276" s="9"/>
    </row>
    <row r="277" spans="2:2" ht="15.75" customHeight="1" x14ac:dyDescent="0.2">
      <c r="B277" s="9"/>
    </row>
    <row r="278" spans="2:2" ht="15.75" customHeight="1" x14ac:dyDescent="0.2">
      <c r="B278" s="9"/>
    </row>
    <row r="279" spans="2:2" ht="15.75" customHeight="1" x14ac:dyDescent="0.2">
      <c r="B279" s="9"/>
    </row>
    <row r="280" spans="2:2" ht="15.75" customHeight="1" x14ac:dyDescent="0.2">
      <c r="B280" s="9"/>
    </row>
    <row r="281" spans="2:2" ht="15.75" customHeight="1" x14ac:dyDescent="0.2">
      <c r="B281" s="9"/>
    </row>
    <row r="282" spans="2:2" ht="15.75" customHeight="1" x14ac:dyDescent="0.2">
      <c r="B282" s="9"/>
    </row>
    <row r="283" spans="2:2" ht="15.75" customHeight="1" x14ac:dyDescent="0.2">
      <c r="B283" s="9"/>
    </row>
    <row r="284" spans="2:2" ht="15.75" customHeight="1" x14ac:dyDescent="0.2">
      <c r="B284" s="9"/>
    </row>
    <row r="285" spans="2:2" ht="15.75" customHeight="1" x14ac:dyDescent="0.2">
      <c r="B285" s="9"/>
    </row>
    <row r="286" spans="2:2" ht="15.75" customHeight="1" x14ac:dyDescent="0.2">
      <c r="B286" s="9"/>
    </row>
    <row r="287" spans="2:2" ht="15.75" customHeight="1" x14ac:dyDescent="0.2">
      <c r="B287" s="9"/>
    </row>
    <row r="288" spans="2:2" ht="15.75" customHeight="1" x14ac:dyDescent="0.2">
      <c r="B288" s="9"/>
    </row>
    <row r="289" spans="2:2" ht="15.75" customHeight="1" x14ac:dyDescent="0.2">
      <c r="B289" s="9"/>
    </row>
    <row r="290" spans="2:2" ht="15.75" customHeight="1" x14ac:dyDescent="0.2">
      <c r="B290" s="9"/>
    </row>
    <row r="291" spans="2:2" ht="15.75" customHeight="1" x14ac:dyDescent="0.2">
      <c r="B291" s="9"/>
    </row>
    <row r="292" spans="2:2" ht="15.75" customHeight="1" x14ac:dyDescent="0.2">
      <c r="B292" s="9"/>
    </row>
    <row r="293" spans="2:2" ht="15.75" customHeight="1" x14ac:dyDescent="0.2">
      <c r="B293" s="9"/>
    </row>
    <row r="294" spans="2:2" ht="15.75" customHeight="1" x14ac:dyDescent="0.2">
      <c r="B294" s="9"/>
    </row>
    <row r="295" spans="2:2" ht="15.75" customHeight="1" x14ac:dyDescent="0.2">
      <c r="B295" s="9"/>
    </row>
    <row r="296" spans="2:2" ht="15.75" customHeight="1" x14ac:dyDescent="0.2">
      <c r="B296" s="9"/>
    </row>
    <row r="297" spans="2:2" ht="15.75" customHeight="1" x14ac:dyDescent="0.2">
      <c r="B297" s="9"/>
    </row>
    <row r="298" spans="2:2" ht="15.75" customHeight="1" x14ac:dyDescent="0.2">
      <c r="B298" s="9"/>
    </row>
    <row r="299" spans="2:2" ht="15.75" customHeight="1" x14ac:dyDescent="0.2">
      <c r="B299" s="9"/>
    </row>
    <row r="300" spans="2:2" ht="15.75" customHeight="1" x14ac:dyDescent="0.2">
      <c r="B300" s="9"/>
    </row>
    <row r="301" spans="2:2" ht="15.75" customHeight="1" x14ac:dyDescent="0.2">
      <c r="B301" s="9"/>
    </row>
    <row r="302" spans="2:2" ht="15.75" customHeight="1" x14ac:dyDescent="0.2">
      <c r="B302" s="9"/>
    </row>
    <row r="303" spans="2:2" ht="15.75" customHeight="1" x14ac:dyDescent="0.2">
      <c r="B303" s="9"/>
    </row>
    <row r="304" spans="2:2" ht="15.75" customHeight="1" x14ac:dyDescent="0.2">
      <c r="B304" s="9"/>
    </row>
    <row r="305" spans="2:2" ht="15.75" customHeight="1" x14ac:dyDescent="0.2">
      <c r="B305" s="9"/>
    </row>
    <row r="306" spans="2:2" ht="15.75" customHeight="1" x14ac:dyDescent="0.2">
      <c r="B306" s="9"/>
    </row>
    <row r="307" spans="2:2" ht="15.75" customHeight="1" x14ac:dyDescent="0.2">
      <c r="B307" s="9"/>
    </row>
    <row r="308" spans="2:2" ht="15.75" customHeight="1" x14ac:dyDescent="0.2">
      <c r="B308" s="9"/>
    </row>
    <row r="309" spans="2:2" ht="15.75" customHeight="1" x14ac:dyDescent="0.2">
      <c r="B309" s="9"/>
    </row>
    <row r="310" spans="2:2" ht="15.75" customHeight="1" x14ac:dyDescent="0.2">
      <c r="B310" s="9"/>
    </row>
    <row r="311" spans="2:2" ht="15.75" customHeight="1" x14ac:dyDescent="0.2">
      <c r="B311" s="9"/>
    </row>
    <row r="312" spans="2:2" ht="15.75" customHeight="1" x14ac:dyDescent="0.2">
      <c r="B312" s="9"/>
    </row>
    <row r="313" spans="2:2" ht="15.75" customHeight="1" x14ac:dyDescent="0.2">
      <c r="B313" s="9"/>
    </row>
    <row r="314" spans="2:2" ht="15.75" customHeight="1" x14ac:dyDescent="0.2">
      <c r="B314" s="9"/>
    </row>
    <row r="315" spans="2:2" ht="15.75" customHeight="1" x14ac:dyDescent="0.2">
      <c r="B315" s="9"/>
    </row>
    <row r="316" spans="2:2" ht="15.75" customHeight="1" x14ac:dyDescent="0.2">
      <c r="B316" s="9"/>
    </row>
    <row r="317" spans="2:2" ht="15.75" customHeight="1" x14ac:dyDescent="0.2">
      <c r="B317" s="9"/>
    </row>
    <row r="318" spans="2:2" ht="15.75" customHeight="1" x14ac:dyDescent="0.2">
      <c r="B318" s="9"/>
    </row>
    <row r="319" spans="2:2" ht="15.75" customHeight="1" x14ac:dyDescent="0.2">
      <c r="B319" s="9"/>
    </row>
    <row r="320" spans="2:2" ht="15.75" customHeight="1" x14ac:dyDescent="0.2">
      <c r="B320" s="9"/>
    </row>
    <row r="321" spans="2:2" ht="15.75" customHeight="1" x14ac:dyDescent="0.2">
      <c r="B321" s="9"/>
    </row>
    <row r="322" spans="2:2" ht="15.75" customHeight="1" x14ac:dyDescent="0.2">
      <c r="B322" s="9"/>
    </row>
    <row r="323" spans="2:2" ht="15.75" customHeight="1" x14ac:dyDescent="0.2">
      <c r="B323" s="9"/>
    </row>
    <row r="324" spans="2:2" ht="15.75" customHeight="1" x14ac:dyDescent="0.2">
      <c r="B324" s="9"/>
    </row>
    <row r="325" spans="2:2" ht="15.75" customHeight="1" x14ac:dyDescent="0.2">
      <c r="B325" s="9"/>
    </row>
    <row r="326" spans="2:2" ht="15.75" customHeight="1" x14ac:dyDescent="0.2">
      <c r="B326" s="9"/>
    </row>
    <row r="327" spans="2:2" ht="15.75" customHeight="1" x14ac:dyDescent="0.2">
      <c r="B327" s="9"/>
    </row>
    <row r="328" spans="2:2" ht="15.75" customHeight="1" x14ac:dyDescent="0.2">
      <c r="B328" s="9"/>
    </row>
    <row r="329" spans="2:2" ht="15.75" customHeight="1" x14ac:dyDescent="0.2">
      <c r="B329" s="9"/>
    </row>
    <row r="330" spans="2:2" ht="15.75" customHeight="1" x14ac:dyDescent="0.2">
      <c r="B330" s="9"/>
    </row>
    <row r="331" spans="2:2" ht="15.75" customHeight="1" x14ac:dyDescent="0.2">
      <c r="B331" s="9"/>
    </row>
    <row r="332" spans="2:2" ht="15.75" customHeight="1" x14ac:dyDescent="0.2">
      <c r="B332" s="9"/>
    </row>
    <row r="333" spans="2:2" ht="15.75" customHeight="1" x14ac:dyDescent="0.2">
      <c r="B333" s="9"/>
    </row>
    <row r="334" spans="2:2" ht="15.75" customHeight="1" x14ac:dyDescent="0.2">
      <c r="B334" s="9"/>
    </row>
    <row r="335" spans="2:2" ht="15.75" customHeight="1" x14ac:dyDescent="0.2">
      <c r="B335" s="9"/>
    </row>
    <row r="336" spans="2:2" ht="15.75" customHeight="1" x14ac:dyDescent="0.2">
      <c r="B336" s="9"/>
    </row>
    <row r="337" spans="2:2" ht="15.75" customHeight="1" x14ac:dyDescent="0.2">
      <c r="B337" s="9"/>
    </row>
    <row r="338" spans="2:2" ht="15.75" customHeight="1" x14ac:dyDescent="0.2">
      <c r="B338" s="9"/>
    </row>
    <row r="339" spans="2:2" ht="15.75" customHeight="1" x14ac:dyDescent="0.2">
      <c r="B339" s="9"/>
    </row>
    <row r="340" spans="2:2" ht="15.75" customHeight="1" x14ac:dyDescent="0.2">
      <c r="B340" s="9"/>
    </row>
    <row r="341" spans="2:2" ht="15.75" customHeight="1" x14ac:dyDescent="0.2">
      <c r="B341" s="9"/>
    </row>
    <row r="342" spans="2:2" ht="15.75" customHeight="1" x14ac:dyDescent="0.2">
      <c r="B342" s="9"/>
    </row>
    <row r="343" spans="2:2" ht="15.75" customHeight="1" x14ac:dyDescent="0.2">
      <c r="B343" s="9"/>
    </row>
    <row r="344" spans="2:2" ht="15.75" customHeight="1" x14ac:dyDescent="0.2">
      <c r="B344" s="9"/>
    </row>
    <row r="345" spans="2:2" ht="15.75" customHeight="1" x14ac:dyDescent="0.2">
      <c r="B345" s="9"/>
    </row>
    <row r="346" spans="2:2" ht="15.75" customHeight="1" x14ac:dyDescent="0.2">
      <c r="B346" s="9"/>
    </row>
    <row r="347" spans="2:2" ht="15.75" customHeight="1" x14ac:dyDescent="0.2">
      <c r="B347" s="9"/>
    </row>
    <row r="348" spans="2:2" ht="15.75" customHeight="1" x14ac:dyDescent="0.2">
      <c r="B348" s="9"/>
    </row>
    <row r="349" spans="2:2" ht="15.75" customHeight="1" x14ac:dyDescent="0.2">
      <c r="B349" s="9"/>
    </row>
    <row r="350" spans="2:2" ht="15.75" customHeight="1" x14ac:dyDescent="0.2">
      <c r="B350" s="9"/>
    </row>
    <row r="351" spans="2:2" ht="15.75" customHeight="1" x14ac:dyDescent="0.2">
      <c r="B351" s="9"/>
    </row>
    <row r="352" spans="2:2" ht="15.75" customHeight="1" x14ac:dyDescent="0.2">
      <c r="B352" s="9"/>
    </row>
    <row r="353" spans="2:2" ht="15.75" customHeight="1" x14ac:dyDescent="0.2">
      <c r="B353" s="9"/>
    </row>
    <row r="354" spans="2:2" ht="15.75" customHeight="1" x14ac:dyDescent="0.2">
      <c r="B354" s="9"/>
    </row>
    <row r="355" spans="2:2" ht="15.75" customHeight="1" x14ac:dyDescent="0.2">
      <c r="B355" s="9"/>
    </row>
    <row r="356" spans="2:2" ht="15.75" customHeight="1" x14ac:dyDescent="0.2">
      <c r="B356" s="9"/>
    </row>
    <row r="357" spans="2:2" ht="15.75" customHeight="1" x14ac:dyDescent="0.2">
      <c r="B357" s="9"/>
    </row>
    <row r="358" spans="2:2" ht="15.75" customHeight="1" x14ac:dyDescent="0.2">
      <c r="B358" s="9"/>
    </row>
    <row r="359" spans="2:2" ht="15.75" customHeight="1" x14ac:dyDescent="0.2">
      <c r="B359" s="9"/>
    </row>
    <row r="360" spans="2:2" ht="15.75" customHeight="1" x14ac:dyDescent="0.2">
      <c r="B360" s="9"/>
    </row>
    <row r="361" spans="2:2" ht="15.75" customHeight="1" x14ac:dyDescent="0.2">
      <c r="B361" s="9"/>
    </row>
    <row r="362" spans="2:2" ht="15.75" customHeight="1" x14ac:dyDescent="0.2">
      <c r="B362" s="9"/>
    </row>
    <row r="363" spans="2:2" ht="15.75" customHeight="1" x14ac:dyDescent="0.2">
      <c r="B363" s="9"/>
    </row>
    <row r="364" spans="2:2" ht="15.75" customHeight="1" x14ac:dyDescent="0.2">
      <c r="B364" s="9"/>
    </row>
    <row r="365" spans="2:2" ht="15.75" customHeight="1" x14ac:dyDescent="0.2">
      <c r="B365" s="9"/>
    </row>
    <row r="366" spans="2:2" ht="15.75" customHeight="1" x14ac:dyDescent="0.2">
      <c r="B366" s="9"/>
    </row>
    <row r="367" spans="2:2" ht="15.75" customHeight="1" x14ac:dyDescent="0.2">
      <c r="B367" s="9"/>
    </row>
    <row r="368" spans="2:2" ht="15.75" customHeight="1" x14ac:dyDescent="0.2">
      <c r="B368" s="9"/>
    </row>
    <row r="369" spans="2:2" ht="15.75" customHeight="1" x14ac:dyDescent="0.2">
      <c r="B369" s="9"/>
    </row>
    <row r="370" spans="2:2" ht="15.75" customHeight="1" x14ac:dyDescent="0.2">
      <c r="B370" s="9"/>
    </row>
    <row r="371" spans="2:2" ht="15.75" customHeight="1" x14ac:dyDescent="0.2">
      <c r="B371" s="9"/>
    </row>
    <row r="372" spans="2:2" ht="15.75" customHeight="1" x14ac:dyDescent="0.2">
      <c r="B372" s="9"/>
    </row>
    <row r="373" spans="2:2" ht="15.75" customHeight="1" x14ac:dyDescent="0.2">
      <c r="B373" s="9"/>
    </row>
    <row r="374" spans="2:2" ht="15.75" customHeight="1" x14ac:dyDescent="0.2">
      <c r="B374" s="9"/>
    </row>
    <row r="375" spans="2:2" ht="15.75" customHeight="1" x14ac:dyDescent="0.2">
      <c r="B375" s="9"/>
    </row>
    <row r="376" spans="2:2" ht="15.75" customHeight="1" x14ac:dyDescent="0.2">
      <c r="B376" s="9"/>
    </row>
    <row r="377" spans="2:2" ht="15.75" customHeight="1" x14ac:dyDescent="0.2">
      <c r="B377" s="9"/>
    </row>
    <row r="378" spans="2:2" ht="15.75" customHeight="1" x14ac:dyDescent="0.2">
      <c r="B378" s="9"/>
    </row>
    <row r="379" spans="2:2" ht="15.75" customHeight="1" x14ac:dyDescent="0.2">
      <c r="B379" s="9"/>
    </row>
    <row r="380" spans="2:2" ht="15.75" customHeight="1" x14ac:dyDescent="0.2">
      <c r="B380" s="9"/>
    </row>
    <row r="381" spans="2:2" ht="15.75" customHeight="1" x14ac:dyDescent="0.2">
      <c r="B381" s="9"/>
    </row>
    <row r="382" spans="2:2" ht="15.75" customHeight="1" x14ac:dyDescent="0.2">
      <c r="B382" s="9"/>
    </row>
    <row r="383" spans="2:2" ht="15.75" customHeight="1" x14ac:dyDescent="0.2">
      <c r="B383" s="9"/>
    </row>
    <row r="384" spans="2:2" ht="15.75" customHeight="1" x14ac:dyDescent="0.2">
      <c r="B384" s="9"/>
    </row>
    <row r="385" spans="2:2" ht="15.75" customHeight="1" x14ac:dyDescent="0.2">
      <c r="B385" s="9"/>
    </row>
    <row r="386" spans="2:2" ht="15.75" customHeight="1" x14ac:dyDescent="0.2">
      <c r="B386" s="9"/>
    </row>
    <row r="387" spans="2:2" ht="15.75" customHeight="1" x14ac:dyDescent="0.2">
      <c r="B387" s="9"/>
    </row>
    <row r="388" spans="2:2" ht="15.75" customHeight="1" x14ac:dyDescent="0.2">
      <c r="B388" s="9"/>
    </row>
    <row r="389" spans="2:2" ht="15.75" customHeight="1" x14ac:dyDescent="0.2">
      <c r="B389" s="9"/>
    </row>
    <row r="390" spans="2:2" ht="15.75" customHeight="1" x14ac:dyDescent="0.2">
      <c r="B390" s="9"/>
    </row>
    <row r="391" spans="2:2" ht="15.75" customHeight="1" x14ac:dyDescent="0.2">
      <c r="B391" s="9"/>
    </row>
    <row r="392" spans="2:2" ht="15.75" customHeight="1" x14ac:dyDescent="0.2">
      <c r="B392" s="9"/>
    </row>
    <row r="393" spans="2:2" ht="15.75" customHeight="1" x14ac:dyDescent="0.2">
      <c r="B393" s="9"/>
    </row>
    <row r="394" spans="2:2" ht="15.75" customHeight="1" x14ac:dyDescent="0.2">
      <c r="B394" s="9"/>
    </row>
    <row r="395" spans="2:2" ht="15.75" customHeight="1" x14ac:dyDescent="0.2">
      <c r="B395" s="9"/>
    </row>
    <row r="396" spans="2:2" ht="15.75" customHeight="1" x14ac:dyDescent="0.2">
      <c r="B396" s="9"/>
    </row>
    <row r="397" spans="2:2" ht="15.75" customHeight="1" x14ac:dyDescent="0.2">
      <c r="B397" s="9"/>
    </row>
    <row r="398" spans="2:2" ht="15.75" customHeight="1" x14ac:dyDescent="0.2">
      <c r="B398" s="9"/>
    </row>
    <row r="399" spans="2:2" ht="15.75" customHeight="1" x14ac:dyDescent="0.2">
      <c r="B399" s="9"/>
    </row>
    <row r="400" spans="2:2" ht="15.75" customHeight="1" x14ac:dyDescent="0.2">
      <c r="B400" s="9"/>
    </row>
    <row r="401" spans="2:2" ht="15.75" customHeight="1" x14ac:dyDescent="0.2">
      <c r="B401" s="9"/>
    </row>
    <row r="402" spans="2:2" ht="15.75" customHeight="1" x14ac:dyDescent="0.2">
      <c r="B402" s="9"/>
    </row>
    <row r="403" spans="2:2" ht="15.75" customHeight="1" x14ac:dyDescent="0.2">
      <c r="B403" s="9"/>
    </row>
    <row r="404" spans="2:2" ht="15.75" customHeight="1" x14ac:dyDescent="0.2">
      <c r="B404" s="9"/>
    </row>
    <row r="405" spans="2:2" ht="15.75" customHeight="1" x14ac:dyDescent="0.2">
      <c r="B405" s="9"/>
    </row>
    <row r="406" spans="2:2" ht="15.75" customHeight="1" x14ac:dyDescent="0.2">
      <c r="B406" s="9"/>
    </row>
    <row r="407" spans="2:2" ht="15.75" customHeight="1" x14ac:dyDescent="0.2">
      <c r="B407" s="9"/>
    </row>
    <row r="408" spans="2:2" ht="15.75" customHeight="1" x14ac:dyDescent="0.2">
      <c r="B408" s="9"/>
    </row>
    <row r="409" spans="2:2" ht="15.75" customHeight="1" x14ac:dyDescent="0.2">
      <c r="B409" s="9"/>
    </row>
    <row r="410" spans="2:2" ht="15.75" customHeight="1" x14ac:dyDescent="0.2">
      <c r="B410" s="9"/>
    </row>
    <row r="411" spans="2:2" ht="15.75" customHeight="1" x14ac:dyDescent="0.2">
      <c r="B411" s="9"/>
    </row>
    <row r="412" spans="2:2" ht="15.75" customHeight="1" x14ac:dyDescent="0.2">
      <c r="B412" s="9"/>
    </row>
    <row r="413" spans="2:2" ht="15.75" customHeight="1" x14ac:dyDescent="0.2">
      <c r="B413" s="9"/>
    </row>
    <row r="414" spans="2:2" ht="15.75" customHeight="1" x14ac:dyDescent="0.2">
      <c r="B414" s="9"/>
    </row>
    <row r="415" spans="2:2" ht="15.75" customHeight="1" x14ac:dyDescent="0.2">
      <c r="B415" s="9"/>
    </row>
    <row r="416" spans="2:2" ht="15.75" customHeight="1" x14ac:dyDescent="0.2">
      <c r="B416" s="9"/>
    </row>
    <row r="417" spans="2:2" ht="15.75" customHeight="1" x14ac:dyDescent="0.2">
      <c r="B417" s="9"/>
    </row>
    <row r="418" spans="2:2" ht="15.75" customHeight="1" x14ac:dyDescent="0.2">
      <c r="B418" s="9"/>
    </row>
    <row r="419" spans="2:2" ht="15.75" customHeight="1" x14ac:dyDescent="0.2">
      <c r="B419" s="9"/>
    </row>
    <row r="420" spans="2:2" ht="15.75" customHeight="1" x14ac:dyDescent="0.2">
      <c r="B420" s="9"/>
    </row>
    <row r="421" spans="2:2" ht="15.75" customHeight="1" x14ac:dyDescent="0.2">
      <c r="B421" s="9"/>
    </row>
    <row r="422" spans="2:2" ht="15.75" customHeight="1" x14ac:dyDescent="0.2">
      <c r="B422" s="9"/>
    </row>
    <row r="423" spans="2:2" ht="15.75" customHeight="1" x14ac:dyDescent="0.2">
      <c r="B423" s="9"/>
    </row>
    <row r="424" spans="2:2" ht="15.75" customHeight="1" x14ac:dyDescent="0.2">
      <c r="B424" s="9"/>
    </row>
    <row r="425" spans="2:2" ht="15.75" customHeight="1" x14ac:dyDescent="0.2">
      <c r="B425" s="9"/>
    </row>
    <row r="426" spans="2:2" ht="15.75" customHeight="1" x14ac:dyDescent="0.2">
      <c r="B426" s="9"/>
    </row>
    <row r="427" spans="2:2" ht="15.75" customHeight="1" x14ac:dyDescent="0.2">
      <c r="B427" s="9"/>
    </row>
    <row r="428" spans="2:2" ht="15.75" customHeight="1" x14ac:dyDescent="0.2">
      <c r="B428" s="9"/>
    </row>
    <row r="429" spans="2:2" ht="15.75" customHeight="1" x14ac:dyDescent="0.2">
      <c r="B429" s="9"/>
    </row>
    <row r="430" spans="2:2" ht="15.75" customHeight="1" x14ac:dyDescent="0.2">
      <c r="B430" s="9"/>
    </row>
    <row r="431" spans="2:2" ht="15.75" customHeight="1" x14ac:dyDescent="0.2">
      <c r="B431" s="9"/>
    </row>
    <row r="432" spans="2:2" ht="15.75" customHeight="1" x14ac:dyDescent="0.2">
      <c r="B432" s="9"/>
    </row>
    <row r="433" spans="2:2" ht="15.75" customHeight="1" x14ac:dyDescent="0.2">
      <c r="B433" s="9"/>
    </row>
    <row r="434" spans="2:2" ht="15.75" customHeight="1" x14ac:dyDescent="0.2">
      <c r="B434" s="9"/>
    </row>
    <row r="435" spans="2:2" ht="15.75" customHeight="1" x14ac:dyDescent="0.2">
      <c r="B435" s="9"/>
    </row>
    <row r="436" spans="2:2" ht="15.75" customHeight="1" x14ac:dyDescent="0.2">
      <c r="B436" s="9"/>
    </row>
    <row r="437" spans="2:2" ht="15.75" customHeight="1" x14ac:dyDescent="0.2">
      <c r="B437" s="9"/>
    </row>
    <row r="438" spans="2:2" ht="15.75" customHeight="1" x14ac:dyDescent="0.2">
      <c r="B438" s="9"/>
    </row>
    <row r="439" spans="2:2" ht="15.75" customHeight="1" x14ac:dyDescent="0.2">
      <c r="B439" s="9"/>
    </row>
    <row r="440" spans="2:2" ht="15.75" customHeight="1" x14ac:dyDescent="0.2">
      <c r="B440" s="9"/>
    </row>
    <row r="441" spans="2:2" ht="15.75" customHeight="1" x14ac:dyDescent="0.2">
      <c r="B441" s="9"/>
    </row>
    <row r="442" spans="2:2" ht="15.75" customHeight="1" x14ac:dyDescent="0.2">
      <c r="B442" s="9"/>
    </row>
    <row r="443" spans="2:2" ht="15.75" customHeight="1" x14ac:dyDescent="0.2">
      <c r="B443" s="9"/>
    </row>
    <row r="444" spans="2:2" ht="15.75" customHeight="1" x14ac:dyDescent="0.2">
      <c r="B444" s="9"/>
    </row>
    <row r="445" spans="2:2" ht="15.75" customHeight="1" x14ac:dyDescent="0.2">
      <c r="B445" s="9"/>
    </row>
    <row r="446" spans="2:2" ht="15.75" customHeight="1" x14ac:dyDescent="0.2">
      <c r="B446" s="9"/>
    </row>
    <row r="447" spans="2:2" ht="15.75" customHeight="1" x14ac:dyDescent="0.2">
      <c r="B447" s="9"/>
    </row>
    <row r="448" spans="2:2" ht="15.75" customHeight="1" x14ac:dyDescent="0.2">
      <c r="B448" s="9"/>
    </row>
    <row r="449" spans="2:2" ht="15.75" customHeight="1" x14ac:dyDescent="0.2">
      <c r="B449" s="9"/>
    </row>
    <row r="450" spans="2:2" ht="15.75" customHeight="1" x14ac:dyDescent="0.2">
      <c r="B450" s="9"/>
    </row>
    <row r="451" spans="2:2" ht="15.75" customHeight="1" x14ac:dyDescent="0.2">
      <c r="B451" s="9"/>
    </row>
    <row r="452" spans="2:2" ht="15.75" customHeight="1" x14ac:dyDescent="0.2">
      <c r="B452" s="9"/>
    </row>
    <row r="453" spans="2:2" ht="15.75" customHeight="1" x14ac:dyDescent="0.2">
      <c r="B453" s="9"/>
    </row>
    <row r="454" spans="2:2" ht="15.75" customHeight="1" x14ac:dyDescent="0.2">
      <c r="B454" s="9"/>
    </row>
    <row r="455" spans="2:2" ht="15.75" customHeight="1" x14ac:dyDescent="0.2">
      <c r="B455" s="9"/>
    </row>
    <row r="456" spans="2:2" ht="15.75" customHeight="1" x14ac:dyDescent="0.2">
      <c r="B456" s="9"/>
    </row>
    <row r="457" spans="2:2" ht="15.75" customHeight="1" x14ac:dyDescent="0.2">
      <c r="B457" s="9"/>
    </row>
    <row r="458" spans="2:2" ht="15.75" customHeight="1" x14ac:dyDescent="0.2">
      <c r="B458" s="9"/>
    </row>
    <row r="459" spans="2:2" ht="15.75" customHeight="1" x14ac:dyDescent="0.2">
      <c r="B459" s="9"/>
    </row>
    <row r="460" spans="2:2" ht="15.75" customHeight="1" x14ac:dyDescent="0.2">
      <c r="B460" s="9"/>
    </row>
    <row r="461" spans="2:2" ht="15.75" customHeight="1" x14ac:dyDescent="0.2">
      <c r="B461" s="9"/>
    </row>
    <row r="462" spans="2:2" ht="15.75" customHeight="1" x14ac:dyDescent="0.2">
      <c r="B462" s="9"/>
    </row>
    <row r="463" spans="2:2" ht="15.75" customHeight="1" x14ac:dyDescent="0.2">
      <c r="B463" s="9"/>
    </row>
    <row r="464" spans="2:2" ht="15.75" customHeight="1" x14ac:dyDescent="0.2">
      <c r="B464" s="9"/>
    </row>
    <row r="465" spans="2:2" ht="15.75" customHeight="1" x14ac:dyDescent="0.2">
      <c r="B465" s="9"/>
    </row>
    <row r="466" spans="2:2" ht="15.75" customHeight="1" x14ac:dyDescent="0.2">
      <c r="B466" s="9"/>
    </row>
    <row r="467" spans="2:2" ht="15.75" customHeight="1" x14ac:dyDescent="0.2">
      <c r="B467" s="9"/>
    </row>
    <row r="468" spans="2:2" ht="15.75" customHeight="1" x14ac:dyDescent="0.2">
      <c r="B468" s="9"/>
    </row>
    <row r="469" spans="2:2" ht="15.75" customHeight="1" x14ac:dyDescent="0.2">
      <c r="B469" s="9"/>
    </row>
    <row r="470" spans="2:2" ht="15.75" customHeight="1" x14ac:dyDescent="0.2">
      <c r="B470" s="9"/>
    </row>
    <row r="471" spans="2:2" ht="15.75" customHeight="1" x14ac:dyDescent="0.2">
      <c r="B471" s="9"/>
    </row>
    <row r="472" spans="2:2" ht="15.75" customHeight="1" x14ac:dyDescent="0.2">
      <c r="B472" s="9"/>
    </row>
    <row r="473" spans="2:2" ht="15.75" customHeight="1" x14ac:dyDescent="0.2">
      <c r="B473" s="9"/>
    </row>
    <row r="474" spans="2:2" ht="15.75" customHeight="1" x14ac:dyDescent="0.2">
      <c r="B474" s="9"/>
    </row>
    <row r="475" spans="2:2" ht="15.75" customHeight="1" x14ac:dyDescent="0.2">
      <c r="B475" s="9"/>
    </row>
    <row r="476" spans="2:2" ht="15.75" customHeight="1" x14ac:dyDescent="0.2">
      <c r="B476" s="9"/>
    </row>
    <row r="477" spans="2:2" ht="15.75" customHeight="1" x14ac:dyDescent="0.2">
      <c r="B477" s="9"/>
    </row>
    <row r="478" spans="2:2" ht="15.75" customHeight="1" x14ac:dyDescent="0.2">
      <c r="B478" s="9"/>
    </row>
    <row r="479" spans="2:2" ht="15.75" customHeight="1" x14ac:dyDescent="0.2">
      <c r="B479" s="9"/>
    </row>
    <row r="480" spans="2:2" ht="15.75" customHeight="1" x14ac:dyDescent="0.2">
      <c r="B480" s="9"/>
    </row>
    <row r="481" spans="2:2" ht="15.75" customHeight="1" x14ac:dyDescent="0.2">
      <c r="B481" s="9"/>
    </row>
    <row r="482" spans="2:2" ht="15.75" customHeight="1" x14ac:dyDescent="0.2">
      <c r="B482" s="9"/>
    </row>
    <row r="483" spans="2:2" ht="15.75" customHeight="1" x14ac:dyDescent="0.2">
      <c r="B483" s="9"/>
    </row>
    <row r="484" spans="2:2" ht="15.75" customHeight="1" x14ac:dyDescent="0.2">
      <c r="B484" s="9"/>
    </row>
    <row r="485" spans="2:2" ht="15.75" customHeight="1" x14ac:dyDescent="0.2">
      <c r="B485" s="9"/>
    </row>
    <row r="486" spans="2:2" ht="15.75" customHeight="1" x14ac:dyDescent="0.2">
      <c r="B486" s="9"/>
    </row>
    <row r="487" spans="2:2" ht="15.75" customHeight="1" x14ac:dyDescent="0.2">
      <c r="B487" s="9"/>
    </row>
    <row r="488" spans="2:2" ht="15.75" customHeight="1" x14ac:dyDescent="0.2">
      <c r="B488" s="9"/>
    </row>
    <row r="489" spans="2:2" ht="15.75" customHeight="1" x14ac:dyDescent="0.2">
      <c r="B489" s="9"/>
    </row>
    <row r="490" spans="2:2" ht="15.75" customHeight="1" x14ac:dyDescent="0.2">
      <c r="B490" s="9"/>
    </row>
    <row r="491" spans="2:2" ht="15.75" customHeight="1" x14ac:dyDescent="0.2">
      <c r="B491" s="9"/>
    </row>
    <row r="492" spans="2:2" ht="15.75" customHeight="1" x14ac:dyDescent="0.2">
      <c r="B492" s="9"/>
    </row>
    <row r="493" spans="2:2" ht="15.75" customHeight="1" x14ac:dyDescent="0.2">
      <c r="B493" s="9"/>
    </row>
    <row r="494" spans="2:2" ht="15.75" customHeight="1" x14ac:dyDescent="0.2">
      <c r="B494" s="9"/>
    </row>
    <row r="495" spans="2:2" ht="15.75" customHeight="1" x14ac:dyDescent="0.2">
      <c r="B495" s="9"/>
    </row>
    <row r="496" spans="2:2" ht="15.75" customHeight="1" x14ac:dyDescent="0.2">
      <c r="B496" s="9"/>
    </row>
    <row r="497" spans="2:2" ht="15.75" customHeight="1" x14ac:dyDescent="0.2">
      <c r="B497" s="9"/>
    </row>
    <row r="498" spans="2:2" ht="15.75" customHeight="1" x14ac:dyDescent="0.2">
      <c r="B498" s="9"/>
    </row>
    <row r="499" spans="2:2" ht="15.75" customHeight="1" x14ac:dyDescent="0.2">
      <c r="B499" s="9"/>
    </row>
    <row r="500" spans="2:2" ht="15.75" customHeight="1" x14ac:dyDescent="0.2">
      <c r="B500" s="9"/>
    </row>
    <row r="501" spans="2:2" ht="15.75" customHeight="1" x14ac:dyDescent="0.2">
      <c r="B501" s="9"/>
    </row>
    <row r="502" spans="2:2" ht="15.75" customHeight="1" x14ac:dyDescent="0.2">
      <c r="B502" s="9"/>
    </row>
    <row r="503" spans="2:2" ht="15.75" customHeight="1" x14ac:dyDescent="0.2">
      <c r="B503" s="9"/>
    </row>
    <row r="504" spans="2:2" ht="15.75" customHeight="1" x14ac:dyDescent="0.2">
      <c r="B504" s="9"/>
    </row>
    <row r="505" spans="2:2" ht="15.75" customHeight="1" x14ac:dyDescent="0.2">
      <c r="B505" s="9"/>
    </row>
    <row r="506" spans="2:2" ht="15.75" customHeight="1" x14ac:dyDescent="0.2">
      <c r="B506" s="9"/>
    </row>
    <row r="507" spans="2:2" ht="15.75" customHeight="1" x14ac:dyDescent="0.2">
      <c r="B507" s="9"/>
    </row>
    <row r="508" spans="2:2" ht="15.75" customHeight="1" x14ac:dyDescent="0.2">
      <c r="B508" s="9"/>
    </row>
    <row r="509" spans="2:2" ht="15.75" customHeight="1" x14ac:dyDescent="0.2">
      <c r="B509" s="9"/>
    </row>
    <row r="510" spans="2:2" ht="15.75" customHeight="1" x14ac:dyDescent="0.2">
      <c r="B510" s="9"/>
    </row>
    <row r="511" spans="2:2" ht="15.75" customHeight="1" x14ac:dyDescent="0.2">
      <c r="B511" s="9"/>
    </row>
    <row r="512" spans="2:2" ht="15.75" customHeight="1" x14ac:dyDescent="0.2">
      <c r="B512" s="9"/>
    </row>
    <row r="513" spans="2:2" ht="15.75" customHeight="1" x14ac:dyDescent="0.2">
      <c r="B513" s="9"/>
    </row>
    <row r="514" spans="2:2" ht="15.75" customHeight="1" x14ac:dyDescent="0.2">
      <c r="B514" s="9"/>
    </row>
    <row r="515" spans="2:2" ht="15.75" customHeight="1" x14ac:dyDescent="0.2">
      <c r="B515" s="9"/>
    </row>
    <row r="516" spans="2:2" ht="15.75" customHeight="1" x14ac:dyDescent="0.2">
      <c r="B516" s="9"/>
    </row>
    <row r="517" spans="2:2" ht="15.75" customHeight="1" x14ac:dyDescent="0.2">
      <c r="B517" s="9"/>
    </row>
    <row r="518" spans="2:2" ht="15.75" customHeight="1" x14ac:dyDescent="0.2">
      <c r="B518" s="9"/>
    </row>
    <row r="519" spans="2:2" ht="15.75" customHeight="1" x14ac:dyDescent="0.2">
      <c r="B519" s="9"/>
    </row>
    <row r="520" spans="2:2" ht="15.75" customHeight="1" x14ac:dyDescent="0.2">
      <c r="B520" s="9"/>
    </row>
    <row r="521" spans="2:2" ht="15.75" customHeight="1" x14ac:dyDescent="0.2">
      <c r="B521" s="9"/>
    </row>
    <row r="522" spans="2:2" ht="15.75" customHeight="1" x14ac:dyDescent="0.2">
      <c r="B522" s="9"/>
    </row>
    <row r="523" spans="2:2" ht="15.75" customHeight="1" x14ac:dyDescent="0.2">
      <c r="B523" s="9"/>
    </row>
    <row r="524" spans="2:2" ht="15.75" customHeight="1" x14ac:dyDescent="0.2">
      <c r="B524" s="9"/>
    </row>
    <row r="525" spans="2:2" ht="15.75" customHeight="1" x14ac:dyDescent="0.2">
      <c r="B525" s="9"/>
    </row>
    <row r="526" spans="2:2" ht="15.75" customHeight="1" x14ac:dyDescent="0.2">
      <c r="B526" s="9"/>
    </row>
    <row r="527" spans="2:2" ht="15.75" customHeight="1" x14ac:dyDescent="0.2">
      <c r="B527" s="9"/>
    </row>
    <row r="528" spans="2:2" ht="15.75" customHeight="1" x14ac:dyDescent="0.2">
      <c r="B528" s="9"/>
    </row>
    <row r="529" spans="2:2" ht="15.75" customHeight="1" x14ac:dyDescent="0.2">
      <c r="B529" s="9"/>
    </row>
    <row r="530" spans="2:2" ht="15.75" customHeight="1" x14ac:dyDescent="0.2">
      <c r="B530" s="9"/>
    </row>
    <row r="531" spans="2:2" ht="15.75" customHeight="1" x14ac:dyDescent="0.2">
      <c r="B531" s="9"/>
    </row>
    <row r="532" spans="2:2" ht="15.75" customHeight="1" x14ac:dyDescent="0.2">
      <c r="B532" s="9"/>
    </row>
    <row r="533" spans="2:2" ht="15.75" customHeight="1" x14ac:dyDescent="0.2">
      <c r="B533" s="9"/>
    </row>
    <row r="534" spans="2:2" ht="15.75" customHeight="1" x14ac:dyDescent="0.2">
      <c r="B534" s="9"/>
    </row>
    <row r="535" spans="2:2" ht="15.75" customHeight="1" x14ac:dyDescent="0.2">
      <c r="B535" s="9"/>
    </row>
    <row r="536" spans="2:2" ht="15.75" customHeight="1" x14ac:dyDescent="0.2">
      <c r="B536" s="9"/>
    </row>
    <row r="537" spans="2:2" ht="15.75" customHeight="1" x14ac:dyDescent="0.2">
      <c r="B537" s="9"/>
    </row>
    <row r="538" spans="2:2" ht="15.75" customHeight="1" x14ac:dyDescent="0.2">
      <c r="B538" s="9"/>
    </row>
    <row r="539" spans="2:2" ht="15.75" customHeight="1" x14ac:dyDescent="0.2">
      <c r="B539" s="9"/>
    </row>
    <row r="540" spans="2:2" ht="15.75" customHeight="1" x14ac:dyDescent="0.2">
      <c r="B540" s="9"/>
    </row>
    <row r="541" spans="2:2" ht="15.75" customHeight="1" x14ac:dyDescent="0.2">
      <c r="B541" s="9"/>
    </row>
    <row r="542" spans="2:2" ht="15.75" customHeight="1" x14ac:dyDescent="0.2">
      <c r="B542" s="9"/>
    </row>
    <row r="543" spans="2:2" ht="15.75" customHeight="1" x14ac:dyDescent="0.2">
      <c r="B543" s="9"/>
    </row>
    <row r="544" spans="2:2" ht="15.75" customHeight="1" x14ac:dyDescent="0.2">
      <c r="B544" s="9"/>
    </row>
    <row r="545" spans="2:2" ht="15.75" customHeight="1" x14ac:dyDescent="0.2">
      <c r="B545" s="9"/>
    </row>
    <row r="546" spans="2:2" ht="15.75" customHeight="1" x14ac:dyDescent="0.2">
      <c r="B546" s="9"/>
    </row>
    <row r="547" spans="2:2" ht="15.75" customHeight="1" x14ac:dyDescent="0.2">
      <c r="B547" s="9"/>
    </row>
    <row r="548" spans="2:2" ht="15.75" customHeight="1" x14ac:dyDescent="0.2">
      <c r="B548" s="9"/>
    </row>
    <row r="549" spans="2:2" ht="15.75" customHeight="1" x14ac:dyDescent="0.2">
      <c r="B549" s="9"/>
    </row>
    <row r="550" spans="2:2" ht="15.75" customHeight="1" x14ac:dyDescent="0.2">
      <c r="B550" s="9"/>
    </row>
    <row r="551" spans="2:2" ht="15.75" customHeight="1" x14ac:dyDescent="0.2">
      <c r="B551" s="9"/>
    </row>
    <row r="552" spans="2:2" ht="15.75" customHeight="1" x14ac:dyDescent="0.2">
      <c r="B552" s="9"/>
    </row>
    <row r="553" spans="2:2" ht="15.75" customHeight="1" x14ac:dyDescent="0.2">
      <c r="B553" s="9"/>
    </row>
    <row r="554" spans="2:2" ht="15.75" customHeight="1" x14ac:dyDescent="0.2">
      <c r="B554" s="9"/>
    </row>
    <row r="555" spans="2:2" ht="15.75" customHeight="1" x14ac:dyDescent="0.2">
      <c r="B555" s="9"/>
    </row>
    <row r="556" spans="2:2" ht="15.75" customHeight="1" x14ac:dyDescent="0.2">
      <c r="B556" s="9"/>
    </row>
    <row r="557" spans="2:2" ht="15.75" customHeight="1" x14ac:dyDescent="0.2">
      <c r="B557" s="9"/>
    </row>
    <row r="558" spans="2:2" ht="15.75" customHeight="1" x14ac:dyDescent="0.2">
      <c r="B558" s="9"/>
    </row>
    <row r="559" spans="2:2" ht="15.75" customHeight="1" x14ac:dyDescent="0.2">
      <c r="B559" s="9"/>
    </row>
    <row r="560" spans="2:2" ht="15.75" customHeight="1" x14ac:dyDescent="0.2">
      <c r="B560" s="9"/>
    </row>
    <row r="561" spans="2:2" ht="15.75" customHeight="1" x14ac:dyDescent="0.2">
      <c r="B561" s="9"/>
    </row>
    <row r="562" spans="2:2" ht="15.75" customHeight="1" x14ac:dyDescent="0.2">
      <c r="B562" s="9"/>
    </row>
    <row r="563" spans="2:2" ht="15.75" customHeight="1" x14ac:dyDescent="0.2">
      <c r="B563" s="9"/>
    </row>
    <row r="564" spans="2:2" ht="15.75" customHeight="1" x14ac:dyDescent="0.2">
      <c r="B564" s="9"/>
    </row>
    <row r="565" spans="2:2" ht="15.75" customHeight="1" x14ac:dyDescent="0.2">
      <c r="B565" s="9"/>
    </row>
    <row r="566" spans="2:2" ht="15.75" customHeight="1" x14ac:dyDescent="0.2">
      <c r="B566" s="9"/>
    </row>
    <row r="567" spans="2:2" ht="15.75" customHeight="1" x14ac:dyDescent="0.2">
      <c r="B567" s="9"/>
    </row>
    <row r="568" spans="2:2" ht="15.75" customHeight="1" x14ac:dyDescent="0.2">
      <c r="B568" s="9"/>
    </row>
    <row r="569" spans="2:2" ht="15.75" customHeight="1" x14ac:dyDescent="0.2">
      <c r="B569" s="9"/>
    </row>
    <row r="570" spans="2:2" ht="15.75" customHeight="1" x14ac:dyDescent="0.2">
      <c r="B570" s="9"/>
    </row>
    <row r="571" spans="2:2" ht="15.75" customHeight="1" x14ac:dyDescent="0.2">
      <c r="B571" s="9"/>
    </row>
    <row r="572" spans="2:2" ht="15.75" customHeight="1" x14ac:dyDescent="0.2">
      <c r="B572" s="9"/>
    </row>
    <row r="573" spans="2:2" ht="15.75" customHeight="1" x14ac:dyDescent="0.2">
      <c r="B573" s="9"/>
    </row>
    <row r="574" spans="2:2" ht="15.75" customHeight="1" x14ac:dyDescent="0.2">
      <c r="B574" s="9"/>
    </row>
    <row r="575" spans="2:2" ht="15.75" customHeight="1" x14ac:dyDescent="0.2">
      <c r="B575" s="9"/>
    </row>
    <row r="576" spans="2:2" ht="15.75" customHeight="1" x14ac:dyDescent="0.2">
      <c r="B576" s="9"/>
    </row>
    <row r="577" spans="2:2" ht="15.75" customHeight="1" x14ac:dyDescent="0.2">
      <c r="B577" s="9"/>
    </row>
    <row r="578" spans="2:2" ht="15.75" customHeight="1" x14ac:dyDescent="0.2">
      <c r="B578" s="9"/>
    </row>
    <row r="579" spans="2:2" ht="15.75" customHeight="1" x14ac:dyDescent="0.2">
      <c r="B579" s="9"/>
    </row>
    <row r="580" spans="2:2" ht="15.75" customHeight="1" x14ac:dyDescent="0.2">
      <c r="B580" s="9"/>
    </row>
    <row r="581" spans="2:2" ht="15.75" customHeight="1" x14ac:dyDescent="0.2">
      <c r="B581" s="9"/>
    </row>
    <row r="582" spans="2:2" ht="15.75" customHeight="1" x14ac:dyDescent="0.2">
      <c r="B582" s="9"/>
    </row>
    <row r="583" spans="2:2" ht="15.75" customHeight="1" x14ac:dyDescent="0.2">
      <c r="B583" s="9"/>
    </row>
    <row r="584" spans="2:2" ht="15.75" customHeight="1" x14ac:dyDescent="0.2">
      <c r="B584" s="9"/>
    </row>
    <row r="585" spans="2:2" ht="15.75" customHeight="1" x14ac:dyDescent="0.2">
      <c r="B585" s="9"/>
    </row>
    <row r="586" spans="2:2" ht="15.75" customHeight="1" x14ac:dyDescent="0.2">
      <c r="B586" s="9"/>
    </row>
    <row r="587" spans="2:2" ht="15.75" customHeight="1" x14ac:dyDescent="0.2">
      <c r="B587" s="9"/>
    </row>
    <row r="588" spans="2:2" ht="15.75" customHeight="1" x14ac:dyDescent="0.2">
      <c r="B588" s="9"/>
    </row>
    <row r="589" spans="2:2" ht="15.75" customHeight="1" x14ac:dyDescent="0.2">
      <c r="B589" s="9"/>
    </row>
    <row r="590" spans="2:2" ht="15.75" customHeight="1" x14ac:dyDescent="0.2">
      <c r="B590" s="9"/>
    </row>
    <row r="591" spans="2:2" ht="15.75" customHeight="1" x14ac:dyDescent="0.2">
      <c r="B591" s="9"/>
    </row>
    <row r="592" spans="2:2" ht="15.75" customHeight="1" x14ac:dyDescent="0.2">
      <c r="B592" s="9"/>
    </row>
    <row r="593" spans="2:2" ht="15.75" customHeight="1" x14ac:dyDescent="0.2">
      <c r="B593" s="9"/>
    </row>
    <row r="594" spans="2:2" ht="15.75" customHeight="1" x14ac:dyDescent="0.2">
      <c r="B594" s="9"/>
    </row>
    <row r="595" spans="2:2" ht="15.75" customHeight="1" x14ac:dyDescent="0.2">
      <c r="B595" s="9"/>
    </row>
    <row r="596" spans="2:2" ht="15.75" customHeight="1" x14ac:dyDescent="0.2">
      <c r="B596" s="9"/>
    </row>
    <row r="597" spans="2:2" ht="15.75" customHeight="1" x14ac:dyDescent="0.2">
      <c r="B597" s="9"/>
    </row>
    <row r="598" spans="2:2" ht="15.75" customHeight="1" x14ac:dyDescent="0.2">
      <c r="B598" s="9"/>
    </row>
    <row r="599" spans="2:2" ht="15.75" customHeight="1" x14ac:dyDescent="0.2">
      <c r="B599" s="9"/>
    </row>
    <row r="600" spans="2:2" ht="15.75" customHeight="1" x14ac:dyDescent="0.2">
      <c r="B600" s="9"/>
    </row>
    <row r="601" spans="2:2" ht="15.75" customHeight="1" x14ac:dyDescent="0.2">
      <c r="B601" s="9"/>
    </row>
    <row r="602" spans="2:2" ht="15.75" customHeight="1" x14ac:dyDescent="0.2">
      <c r="B602" s="9"/>
    </row>
    <row r="603" spans="2:2" ht="15.75" customHeight="1" x14ac:dyDescent="0.2">
      <c r="B603" s="9"/>
    </row>
    <row r="604" spans="2:2" ht="15.75" customHeight="1" x14ac:dyDescent="0.2">
      <c r="B604" s="9"/>
    </row>
    <row r="605" spans="2:2" ht="15.75" customHeight="1" x14ac:dyDescent="0.2">
      <c r="B605" s="9"/>
    </row>
    <row r="606" spans="2:2" ht="15.75" customHeight="1" x14ac:dyDescent="0.2">
      <c r="B606" s="9"/>
    </row>
    <row r="607" spans="2:2" ht="15.75" customHeight="1" x14ac:dyDescent="0.2">
      <c r="B607" s="9"/>
    </row>
    <row r="608" spans="2:2" ht="15.75" customHeight="1" x14ac:dyDescent="0.2">
      <c r="B608" s="9"/>
    </row>
    <row r="609" spans="2:2" ht="15.75" customHeight="1" x14ac:dyDescent="0.2">
      <c r="B609" s="9"/>
    </row>
    <row r="610" spans="2:2" ht="15.75" customHeight="1" x14ac:dyDescent="0.2">
      <c r="B610" s="9"/>
    </row>
    <row r="611" spans="2:2" ht="15.75" customHeight="1" x14ac:dyDescent="0.2">
      <c r="B611" s="9"/>
    </row>
    <row r="612" spans="2:2" ht="15.75" customHeight="1" x14ac:dyDescent="0.2">
      <c r="B612" s="9"/>
    </row>
    <row r="613" spans="2:2" ht="15.75" customHeight="1" x14ac:dyDescent="0.2">
      <c r="B613" s="9"/>
    </row>
    <row r="614" spans="2:2" ht="15.75" customHeight="1" x14ac:dyDescent="0.2">
      <c r="B614" s="9"/>
    </row>
    <row r="615" spans="2:2" ht="15.75" customHeight="1" x14ac:dyDescent="0.2">
      <c r="B615" s="9"/>
    </row>
    <row r="616" spans="2:2" ht="15.75" customHeight="1" x14ac:dyDescent="0.2">
      <c r="B616" s="9"/>
    </row>
    <row r="617" spans="2:2" ht="15.75" customHeight="1" x14ac:dyDescent="0.2">
      <c r="B617" s="9"/>
    </row>
    <row r="618" spans="2:2" ht="15.75" customHeight="1" x14ac:dyDescent="0.2">
      <c r="B618" s="9"/>
    </row>
    <row r="619" spans="2:2" ht="15.75" customHeight="1" x14ac:dyDescent="0.2">
      <c r="B619" s="9"/>
    </row>
    <row r="620" spans="2:2" ht="15.75" customHeight="1" x14ac:dyDescent="0.2">
      <c r="B620" s="9"/>
    </row>
    <row r="621" spans="2:2" ht="15.75" customHeight="1" x14ac:dyDescent="0.2">
      <c r="B621" s="9"/>
    </row>
    <row r="622" spans="2:2" ht="15.75" customHeight="1" x14ac:dyDescent="0.2">
      <c r="B622" s="9"/>
    </row>
    <row r="623" spans="2:2" ht="15.75" customHeight="1" x14ac:dyDescent="0.2">
      <c r="B623" s="9"/>
    </row>
    <row r="624" spans="2:2" ht="15.75" customHeight="1" x14ac:dyDescent="0.2">
      <c r="B624" s="9"/>
    </row>
    <row r="625" spans="2:2" ht="15.75" customHeight="1" x14ac:dyDescent="0.2">
      <c r="B625" s="9"/>
    </row>
    <row r="626" spans="2:2" ht="15.75" customHeight="1" x14ac:dyDescent="0.2">
      <c r="B626" s="9"/>
    </row>
    <row r="627" spans="2:2" ht="15.75" customHeight="1" x14ac:dyDescent="0.2">
      <c r="B627" s="9"/>
    </row>
    <row r="628" spans="2:2" ht="15.75" customHeight="1" x14ac:dyDescent="0.2">
      <c r="B628" s="9"/>
    </row>
    <row r="629" spans="2:2" ht="15.75" customHeight="1" x14ac:dyDescent="0.2">
      <c r="B629" s="9"/>
    </row>
    <row r="630" spans="2:2" ht="15.75" customHeight="1" x14ac:dyDescent="0.2">
      <c r="B630" s="9"/>
    </row>
    <row r="631" spans="2:2" ht="15.75" customHeight="1" x14ac:dyDescent="0.2">
      <c r="B631" s="9"/>
    </row>
    <row r="632" spans="2:2" ht="15.75" customHeight="1" x14ac:dyDescent="0.2">
      <c r="B632" s="9"/>
    </row>
    <row r="633" spans="2:2" ht="15.75" customHeight="1" x14ac:dyDescent="0.2">
      <c r="B633" s="9"/>
    </row>
    <row r="634" spans="2:2" ht="15.75" customHeight="1" x14ac:dyDescent="0.2">
      <c r="B634" s="9"/>
    </row>
    <row r="635" spans="2:2" ht="15.75" customHeight="1" x14ac:dyDescent="0.2">
      <c r="B635" s="9"/>
    </row>
    <row r="636" spans="2:2" ht="15.75" customHeight="1" x14ac:dyDescent="0.2">
      <c r="B636" s="9"/>
    </row>
    <row r="637" spans="2:2" ht="15.75" customHeight="1" x14ac:dyDescent="0.2">
      <c r="B637" s="9"/>
    </row>
    <row r="638" spans="2:2" ht="15.75" customHeight="1" x14ac:dyDescent="0.2">
      <c r="B638" s="9"/>
    </row>
    <row r="639" spans="2:2" ht="15.75" customHeight="1" x14ac:dyDescent="0.2">
      <c r="B639" s="9"/>
    </row>
    <row r="640" spans="2:2" ht="15.75" customHeight="1" x14ac:dyDescent="0.2">
      <c r="B640" s="9"/>
    </row>
    <row r="641" spans="2:2" ht="15.75" customHeight="1" x14ac:dyDescent="0.2">
      <c r="B641" s="9"/>
    </row>
    <row r="642" spans="2:2" ht="15.75" customHeight="1" x14ac:dyDescent="0.2">
      <c r="B642" s="9"/>
    </row>
    <row r="643" spans="2:2" ht="15.75" customHeight="1" x14ac:dyDescent="0.2">
      <c r="B643" s="9"/>
    </row>
    <row r="644" spans="2:2" ht="15.75" customHeight="1" x14ac:dyDescent="0.2">
      <c r="B644" s="9"/>
    </row>
    <row r="645" spans="2:2" ht="15.75" customHeight="1" x14ac:dyDescent="0.2">
      <c r="B645" s="9"/>
    </row>
    <row r="646" spans="2:2" ht="15.75" customHeight="1" x14ac:dyDescent="0.2">
      <c r="B646" s="9"/>
    </row>
    <row r="647" spans="2:2" ht="15.75" customHeight="1" x14ac:dyDescent="0.2">
      <c r="B647" s="9"/>
    </row>
    <row r="648" spans="2:2" ht="15.75" customHeight="1" x14ac:dyDescent="0.2">
      <c r="B648" s="9"/>
    </row>
    <row r="649" spans="2:2" ht="15.75" customHeight="1" x14ac:dyDescent="0.2">
      <c r="B649" s="9"/>
    </row>
    <row r="650" spans="2:2" ht="15.75" customHeight="1" x14ac:dyDescent="0.2">
      <c r="B650" s="9"/>
    </row>
    <row r="651" spans="2:2" ht="15.75" customHeight="1" x14ac:dyDescent="0.2">
      <c r="B651" s="9"/>
    </row>
    <row r="652" spans="2:2" ht="15.75" customHeight="1" x14ac:dyDescent="0.2">
      <c r="B652" s="9"/>
    </row>
    <row r="653" spans="2:2" ht="15.75" customHeight="1" x14ac:dyDescent="0.2">
      <c r="B653" s="9"/>
    </row>
    <row r="654" spans="2:2" ht="15.75" customHeight="1" x14ac:dyDescent="0.2">
      <c r="B654" s="9"/>
    </row>
    <row r="655" spans="2:2" ht="15.75" customHeight="1" x14ac:dyDescent="0.2">
      <c r="B655" s="9"/>
    </row>
    <row r="656" spans="2:2" ht="15.75" customHeight="1" x14ac:dyDescent="0.2">
      <c r="B656" s="9"/>
    </row>
    <row r="657" spans="2:2" ht="15.75" customHeight="1" x14ac:dyDescent="0.2">
      <c r="B657" s="9"/>
    </row>
    <row r="658" spans="2:2" ht="15.75" customHeight="1" x14ac:dyDescent="0.2">
      <c r="B658" s="9"/>
    </row>
    <row r="659" spans="2:2" ht="15.75" customHeight="1" x14ac:dyDescent="0.2">
      <c r="B659" s="9"/>
    </row>
    <row r="660" spans="2:2" ht="15.75" customHeight="1" x14ac:dyDescent="0.2">
      <c r="B660" s="9"/>
    </row>
    <row r="661" spans="2:2" ht="15.75" customHeight="1" x14ac:dyDescent="0.2">
      <c r="B661" s="9"/>
    </row>
    <row r="662" spans="2:2" ht="15.75" customHeight="1" x14ac:dyDescent="0.2">
      <c r="B662" s="9"/>
    </row>
    <row r="663" spans="2:2" ht="15.75" customHeight="1" x14ac:dyDescent="0.2">
      <c r="B663" s="9"/>
    </row>
    <row r="664" spans="2:2" ht="15.75" customHeight="1" x14ac:dyDescent="0.2">
      <c r="B664" s="9"/>
    </row>
    <row r="665" spans="2:2" ht="15.75" customHeight="1" x14ac:dyDescent="0.2">
      <c r="B665" s="9"/>
    </row>
    <row r="666" spans="2:2" ht="15.75" customHeight="1" x14ac:dyDescent="0.2">
      <c r="B666" s="9"/>
    </row>
    <row r="667" spans="2:2" ht="15.75" customHeight="1" x14ac:dyDescent="0.2">
      <c r="B667" s="9"/>
    </row>
    <row r="668" spans="2:2" ht="15.75" customHeight="1" x14ac:dyDescent="0.2">
      <c r="B668" s="9"/>
    </row>
    <row r="669" spans="2:2" ht="15.75" customHeight="1" x14ac:dyDescent="0.2">
      <c r="B669" s="9"/>
    </row>
    <row r="670" spans="2:2" ht="15.75" customHeight="1" x14ac:dyDescent="0.2">
      <c r="B670" s="9"/>
    </row>
    <row r="671" spans="2:2" ht="15.75" customHeight="1" x14ac:dyDescent="0.2">
      <c r="B671" s="9"/>
    </row>
    <row r="672" spans="2:2" ht="15.75" customHeight="1" x14ac:dyDescent="0.2">
      <c r="B672" s="9"/>
    </row>
    <row r="673" spans="2:2" ht="15.75" customHeight="1" x14ac:dyDescent="0.2">
      <c r="B673" s="9"/>
    </row>
    <row r="674" spans="2:2" ht="15.75" customHeight="1" x14ac:dyDescent="0.2">
      <c r="B674" s="9"/>
    </row>
    <row r="675" spans="2:2" ht="15.75" customHeight="1" x14ac:dyDescent="0.2">
      <c r="B675" s="9"/>
    </row>
    <row r="676" spans="2:2" ht="15.75" customHeight="1" x14ac:dyDescent="0.2">
      <c r="B676" s="9"/>
    </row>
    <row r="677" spans="2:2" ht="15.75" customHeight="1" x14ac:dyDescent="0.2">
      <c r="B677" s="9"/>
    </row>
    <row r="678" spans="2:2" ht="15.75" customHeight="1" x14ac:dyDescent="0.2">
      <c r="B678" s="9"/>
    </row>
    <row r="679" spans="2:2" ht="15.75" customHeight="1" x14ac:dyDescent="0.2">
      <c r="B679" s="9"/>
    </row>
    <row r="680" spans="2:2" ht="15.75" customHeight="1" x14ac:dyDescent="0.2">
      <c r="B680" s="9"/>
    </row>
    <row r="681" spans="2:2" ht="15.75" customHeight="1" x14ac:dyDescent="0.2">
      <c r="B681" s="9"/>
    </row>
    <row r="682" spans="2:2" ht="15.75" customHeight="1" x14ac:dyDescent="0.2">
      <c r="B682" s="9"/>
    </row>
    <row r="683" spans="2:2" ht="15.75" customHeight="1" x14ac:dyDescent="0.2">
      <c r="B683" s="9"/>
    </row>
    <row r="684" spans="2:2" ht="15.75" customHeight="1" x14ac:dyDescent="0.2">
      <c r="B684" s="9"/>
    </row>
    <row r="685" spans="2:2" ht="15.75" customHeight="1" x14ac:dyDescent="0.2">
      <c r="B685" s="9"/>
    </row>
    <row r="686" spans="2:2" ht="15.75" customHeight="1" x14ac:dyDescent="0.2">
      <c r="B686" s="9"/>
    </row>
    <row r="687" spans="2:2" ht="15.75" customHeight="1" x14ac:dyDescent="0.2">
      <c r="B687" s="9"/>
    </row>
    <row r="688" spans="2:2" ht="15.75" customHeight="1" x14ac:dyDescent="0.2">
      <c r="B688" s="9"/>
    </row>
    <row r="689" spans="2:2" ht="15.75" customHeight="1" x14ac:dyDescent="0.2">
      <c r="B689" s="9"/>
    </row>
    <row r="690" spans="2:2" ht="15.75" customHeight="1" x14ac:dyDescent="0.2">
      <c r="B690" s="9"/>
    </row>
    <row r="691" spans="2:2" ht="15.75" customHeight="1" x14ac:dyDescent="0.2">
      <c r="B691" s="9"/>
    </row>
    <row r="692" spans="2:2" ht="15.75" customHeight="1" x14ac:dyDescent="0.2">
      <c r="B692" s="9"/>
    </row>
    <row r="693" spans="2:2" ht="15.75" customHeight="1" x14ac:dyDescent="0.2">
      <c r="B693" s="9"/>
    </row>
    <row r="694" spans="2:2" ht="15.75" customHeight="1" x14ac:dyDescent="0.2">
      <c r="B694" s="9"/>
    </row>
    <row r="695" spans="2:2" ht="15.75" customHeight="1" x14ac:dyDescent="0.2">
      <c r="B695" s="9"/>
    </row>
    <row r="696" spans="2:2" ht="15.75" customHeight="1" x14ac:dyDescent="0.2">
      <c r="B696" s="9"/>
    </row>
    <row r="697" spans="2:2" ht="15.75" customHeight="1" x14ac:dyDescent="0.2">
      <c r="B697" s="9"/>
    </row>
    <row r="698" spans="2:2" ht="15.75" customHeight="1" x14ac:dyDescent="0.2">
      <c r="B698" s="9"/>
    </row>
    <row r="699" spans="2:2" ht="15.75" customHeight="1" x14ac:dyDescent="0.2">
      <c r="B699" s="9"/>
    </row>
    <row r="700" spans="2:2" ht="15.75" customHeight="1" x14ac:dyDescent="0.2">
      <c r="B700" s="9"/>
    </row>
    <row r="701" spans="2:2" ht="15.75" customHeight="1" x14ac:dyDescent="0.2">
      <c r="B701" s="9"/>
    </row>
    <row r="702" spans="2:2" ht="15.75" customHeight="1" x14ac:dyDescent="0.2">
      <c r="B702" s="9"/>
    </row>
    <row r="703" spans="2:2" ht="15.75" customHeight="1" x14ac:dyDescent="0.2">
      <c r="B703" s="9"/>
    </row>
    <row r="704" spans="2:2" ht="15.75" customHeight="1" x14ac:dyDescent="0.2">
      <c r="B704" s="9"/>
    </row>
    <row r="705" spans="2:2" ht="15.75" customHeight="1" x14ac:dyDescent="0.2">
      <c r="B705" s="9"/>
    </row>
    <row r="706" spans="2:2" ht="15.75" customHeight="1" x14ac:dyDescent="0.2">
      <c r="B706" s="9"/>
    </row>
    <row r="707" spans="2:2" ht="15.75" customHeight="1" x14ac:dyDescent="0.2">
      <c r="B707" s="9"/>
    </row>
    <row r="708" spans="2:2" ht="15.75" customHeight="1" x14ac:dyDescent="0.2">
      <c r="B708" s="9"/>
    </row>
    <row r="709" spans="2:2" ht="15.75" customHeight="1" x14ac:dyDescent="0.2">
      <c r="B709" s="9"/>
    </row>
    <row r="710" spans="2:2" ht="15.75" customHeight="1" x14ac:dyDescent="0.2">
      <c r="B710" s="9"/>
    </row>
    <row r="711" spans="2:2" ht="15.75" customHeight="1" x14ac:dyDescent="0.2">
      <c r="B711" s="9"/>
    </row>
    <row r="712" spans="2:2" ht="15.75" customHeight="1" x14ac:dyDescent="0.2">
      <c r="B712" s="9"/>
    </row>
    <row r="713" spans="2:2" ht="15.75" customHeight="1" x14ac:dyDescent="0.2">
      <c r="B713" s="9"/>
    </row>
    <row r="714" spans="2:2" ht="15.75" customHeight="1" x14ac:dyDescent="0.2">
      <c r="B714" s="9"/>
    </row>
    <row r="715" spans="2:2" ht="15.75" customHeight="1" x14ac:dyDescent="0.2">
      <c r="B715" s="9"/>
    </row>
    <row r="716" spans="2:2" ht="15.75" customHeight="1" x14ac:dyDescent="0.2">
      <c r="B716" s="9"/>
    </row>
    <row r="717" spans="2:2" ht="15.75" customHeight="1" x14ac:dyDescent="0.2">
      <c r="B717" s="9"/>
    </row>
    <row r="718" spans="2:2" ht="15.75" customHeight="1" x14ac:dyDescent="0.2">
      <c r="B718" s="9"/>
    </row>
    <row r="719" spans="2:2" ht="15.75" customHeight="1" x14ac:dyDescent="0.2">
      <c r="B719" s="9"/>
    </row>
    <row r="720" spans="2:2" ht="15.75" customHeight="1" x14ac:dyDescent="0.2">
      <c r="B720" s="9"/>
    </row>
    <row r="721" spans="2:2" ht="15.75" customHeight="1" x14ac:dyDescent="0.2">
      <c r="B721" s="9"/>
    </row>
    <row r="722" spans="2:2" ht="15.75" customHeight="1" x14ac:dyDescent="0.2">
      <c r="B722" s="9"/>
    </row>
    <row r="723" spans="2:2" ht="15.75" customHeight="1" x14ac:dyDescent="0.2">
      <c r="B723" s="9"/>
    </row>
    <row r="724" spans="2:2" ht="15.75" customHeight="1" x14ac:dyDescent="0.2">
      <c r="B724" s="9"/>
    </row>
    <row r="725" spans="2:2" ht="15.75" customHeight="1" x14ac:dyDescent="0.2">
      <c r="B725" s="9"/>
    </row>
    <row r="726" spans="2:2" ht="15.75" customHeight="1" x14ac:dyDescent="0.2">
      <c r="B726" s="9"/>
    </row>
    <row r="727" spans="2:2" ht="15.75" customHeight="1" x14ac:dyDescent="0.2">
      <c r="B727" s="9"/>
    </row>
    <row r="728" spans="2:2" ht="15.75" customHeight="1" x14ac:dyDescent="0.2">
      <c r="B728" s="9"/>
    </row>
    <row r="729" spans="2:2" ht="15.75" customHeight="1" x14ac:dyDescent="0.2">
      <c r="B729" s="9"/>
    </row>
    <row r="730" spans="2:2" ht="15.75" customHeight="1" x14ac:dyDescent="0.2">
      <c r="B730" s="9"/>
    </row>
    <row r="731" spans="2:2" ht="15.75" customHeight="1" x14ac:dyDescent="0.2">
      <c r="B731" s="9"/>
    </row>
    <row r="732" spans="2:2" ht="15.75" customHeight="1" x14ac:dyDescent="0.2">
      <c r="B732" s="9"/>
    </row>
    <row r="733" spans="2:2" ht="15.75" customHeight="1" x14ac:dyDescent="0.2">
      <c r="B733" s="9"/>
    </row>
    <row r="734" spans="2:2" ht="15.75" customHeight="1" x14ac:dyDescent="0.2">
      <c r="B734" s="9"/>
    </row>
    <row r="735" spans="2:2" ht="15.75" customHeight="1" x14ac:dyDescent="0.2">
      <c r="B735" s="9"/>
    </row>
    <row r="736" spans="2:2" ht="15.75" customHeight="1" x14ac:dyDescent="0.2">
      <c r="B736" s="9"/>
    </row>
    <row r="737" spans="2:2" ht="15.75" customHeight="1" x14ac:dyDescent="0.2">
      <c r="B737" s="9"/>
    </row>
    <row r="738" spans="2:2" ht="15.75" customHeight="1" x14ac:dyDescent="0.2">
      <c r="B738" s="9"/>
    </row>
    <row r="739" spans="2:2" ht="15.75" customHeight="1" x14ac:dyDescent="0.2">
      <c r="B739" s="9"/>
    </row>
    <row r="740" spans="2:2" ht="15.75" customHeight="1" x14ac:dyDescent="0.2">
      <c r="B740" s="9"/>
    </row>
    <row r="741" spans="2:2" ht="15.75" customHeight="1" x14ac:dyDescent="0.2">
      <c r="B741" s="9"/>
    </row>
    <row r="742" spans="2:2" ht="15.75" customHeight="1" x14ac:dyDescent="0.2">
      <c r="B742" s="9"/>
    </row>
    <row r="743" spans="2:2" ht="15.75" customHeight="1" x14ac:dyDescent="0.2">
      <c r="B743" s="9"/>
    </row>
    <row r="744" spans="2:2" ht="15.75" customHeight="1" x14ac:dyDescent="0.2">
      <c r="B744" s="9"/>
    </row>
    <row r="745" spans="2:2" ht="15.75" customHeight="1" x14ac:dyDescent="0.2">
      <c r="B745" s="9"/>
    </row>
    <row r="746" spans="2:2" ht="15.75" customHeight="1" x14ac:dyDescent="0.2">
      <c r="B746" s="9"/>
    </row>
    <row r="747" spans="2:2" ht="15.75" customHeight="1" x14ac:dyDescent="0.2">
      <c r="B747" s="9"/>
    </row>
    <row r="748" spans="2:2" ht="15.75" customHeight="1" x14ac:dyDescent="0.2">
      <c r="B748" s="9"/>
    </row>
    <row r="749" spans="2:2" ht="15.75" customHeight="1" x14ac:dyDescent="0.2">
      <c r="B749" s="9"/>
    </row>
    <row r="750" spans="2:2" ht="15.75" customHeight="1" x14ac:dyDescent="0.2">
      <c r="B750" s="9"/>
    </row>
    <row r="751" spans="2:2" ht="15.75" customHeight="1" x14ac:dyDescent="0.2">
      <c r="B751" s="9"/>
    </row>
    <row r="752" spans="2:2" ht="15.75" customHeight="1" x14ac:dyDescent="0.2">
      <c r="B752" s="9"/>
    </row>
    <row r="753" spans="2:2" ht="15.75" customHeight="1" x14ac:dyDescent="0.2">
      <c r="B753" s="9"/>
    </row>
    <row r="754" spans="2:2" ht="15.75" customHeight="1" x14ac:dyDescent="0.2">
      <c r="B754" s="9"/>
    </row>
    <row r="755" spans="2:2" ht="15.75" customHeight="1" x14ac:dyDescent="0.2">
      <c r="B755" s="9"/>
    </row>
    <row r="756" spans="2:2" ht="15.75" customHeight="1" x14ac:dyDescent="0.2">
      <c r="B756" s="9"/>
    </row>
    <row r="757" spans="2:2" ht="15.75" customHeight="1" x14ac:dyDescent="0.2">
      <c r="B757" s="9"/>
    </row>
    <row r="758" spans="2:2" ht="15.75" customHeight="1" x14ac:dyDescent="0.2">
      <c r="B758" s="9"/>
    </row>
    <row r="759" spans="2:2" ht="15.75" customHeight="1" x14ac:dyDescent="0.2">
      <c r="B759" s="9"/>
    </row>
    <row r="760" spans="2:2" ht="15.75" customHeight="1" x14ac:dyDescent="0.2">
      <c r="B760" s="9"/>
    </row>
    <row r="761" spans="2:2" ht="15.75" customHeight="1" x14ac:dyDescent="0.2">
      <c r="B761" s="9"/>
    </row>
    <row r="762" spans="2:2" ht="15.75" customHeight="1" x14ac:dyDescent="0.2">
      <c r="B762" s="9"/>
    </row>
    <row r="763" spans="2:2" ht="15.75" customHeight="1" x14ac:dyDescent="0.2">
      <c r="B763" s="9"/>
    </row>
    <row r="764" spans="2:2" ht="15.75" customHeight="1" x14ac:dyDescent="0.2">
      <c r="B764" s="9"/>
    </row>
    <row r="765" spans="2:2" ht="15.75" customHeight="1" x14ac:dyDescent="0.2">
      <c r="B765" s="9"/>
    </row>
    <row r="766" spans="2:2" ht="15.75" customHeight="1" x14ac:dyDescent="0.2">
      <c r="B766" s="9"/>
    </row>
    <row r="767" spans="2:2" ht="15.75" customHeight="1" x14ac:dyDescent="0.2">
      <c r="B767" s="9"/>
    </row>
    <row r="768" spans="2:2" ht="15.75" customHeight="1" x14ac:dyDescent="0.2">
      <c r="B768" s="9"/>
    </row>
    <row r="769" spans="2:2" ht="15.75" customHeight="1" x14ac:dyDescent="0.2">
      <c r="B769" s="9"/>
    </row>
    <row r="770" spans="2:2" ht="15.75" customHeight="1" x14ac:dyDescent="0.2">
      <c r="B770" s="9"/>
    </row>
    <row r="771" spans="2:2" ht="15.75" customHeight="1" x14ac:dyDescent="0.2">
      <c r="B771" s="9"/>
    </row>
    <row r="772" spans="2:2" ht="15.75" customHeight="1" x14ac:dyDescent="0.2">
      <c r="B772" s="9"/>
    </row>
    <row r="773" spans="2:2" ht="15.75" customHeight="1" x14ac:dyDescent="0.2">
      <c r="B773" s="9"/>
    </row>
    <row r="774" spans="2:2" ht="15.75" customHeight="1" x14ac:dyDescent="0.2">
      <c r="B774" s="9"/>
    </row>
    <row r="775" spans="2:2" ht="15.75" customHeight="1" x14ac:dyDescent="0.2">
      <c r="B775" s="9"/>
    </row>
    <row r="776" spans="2:2" ht="15.75" customHeight="1" x14ac:dyDescent="0.2">
      <c r="B776" s="9"/>
    </row>
    <row r="777" spans="2:2" ht="15.75" customHeight="1" x14ac:dyDescent="0.2">
      <c r="B777" s="9"/>
    </row>
    <row r="778" spans="2:2" ht="15.75" customHeight="1" x14ac:dyDescent="0.2">
      <c r="B778" s="9"/>
    </row>
    <row r="779" spans="2:2" ht="15.75" customHeight="1" x14ac:dyDescent="0.2">
      <c r="B779" s="9"/>
    </row>
    <row r="780" spans="2:2" ht="15.75" customHeight="1" x14ac:dyDescent="0.2">
      <c r="B780" s="9"/>
    </row>
    <row r="781" spans="2:2" ht="15.75" customHeight="1" x14ac:dyDescent="0.2">
      <c r="B781" s="9"/>
    </row>
    <row r="782" spans="2:2" ht="15.75" customHeight="1" x14ac:dyDescent="0.2">
      <c r="B782" s="9"/>
    </row>
    <row r="783" spans="2:2" ht="15.75" customHeight="1" x14ac:dyDescent="0.2">
      <c r="B783" s="9"/>
    </row>
    <row r="784" spans="2:2" ht="15.75" customHeight="1" x14ac:dyDescent="0.2">
      <c r="B784" s="9"/>
    </row>
    <row r="785" spans="2:2" ht="15.75" customHeight="1" x14ac:dyDescent="0.2">
      <c r="B785" s="9"/>
    </row>
    <row r="786" spans="2:2" ht="15.75" customHeight="1" x14ac:dyDescent="0.2">
      <c r="B786" s="9"/>
    </row>
    <row r="787" spans="2:2" ht="15.75" customHeight="1" x14ac:dyDescent="0.2">
      <c r="B787" s="9"/>
    </row>
    <row r="788" spans="2:2" ht="15.75" customHeight="1" x14ac:dyDescent="0.2">
      <c r="B788" s="9"/>
    </row>
    <row r="789" spans="2:2" ht="15.75" customHeight="1" x14ac:dyDescent="0.2">
      <c r="B789" s="9"/>
    </row>
    <row r="790" spans="2:2" ht="15.75" customHeight="1" x14ac:dyDescent="0.2">
      <c r="B790" s="9"/>
    </row>
    <row r="791" spans="2:2" ht="15.75" customHeight="1" x14ac:dyDescent="0.2">
      <c r="B791" s="9"/>
    </row>
    <row r="792" spans="2:2" ht="15.75" customHeight="1" x14ac:dyDescent="0.2">
      <c r="B792" s="9"/>
    </row>
    <row r="793" spans="2:2" ht="15.75" customHeight="1" x14ac:dyDescent="0.2">
      <c r="B793" s="9"/>
    </row>
    <row r="794" spans="2:2" ht="15.75" customHeight="1" x14ac:dyDescent="0.2">
      <c r="B794" s="9"/>
    </row>
    <row r="795" spans="2:2" ht="15.75" customHeight="1" x14ac:dyDescent="0.2">
      <c r="B795" s="9"/>
    </row>
    <row r="796" spans="2:2" ht="15.75" customHeight="1" x14ac:dyDescent="0.2">
      <c r="B796" s="9"/>
    </row>
    <row r="797" spans="2:2" ht="15.75" customHeight="1" x14ac:dyDescent="0.2">
      <c r="B797" s="9"/>
    </row>
    <row r="798" spans="2:2" ht="15.75" customHeight="1" x14ac:dyDescent="0.2">
      <c r="B798" s="9"/>
    </row>
    <row r="799" spans="2:2" ht="15.75" customHeight="1" x14ac:dyDescent="0.2">
      <c r="B799" s="9"/>
    </row>
    <row r="800" spans="2:2" ht="15.75" customHeight="1" x14ac:dyDescent="0.2">
      <c r="B800" s="9"/>
    </row>
    <row r="801" spans="2:2" ht="15.75" customHeight="1" x14ac:dyDescent="0.2">
      <c r="B801" s="9"/>
    </row>
    <row r="802" spans="2:2" ht="15.75" customHeight="1" x14ac:dyDescent="0.2">
      <c r="B802" s="9"/>
    </row>
    <row r="803" spans="2:2" ht="15.75" customHeight="1" x14ac:dyDescent="0.2">
      <c r="B803" s="9"/>
    </row>
    <row r="804" spans="2:2" ht="15.75" customHeight="1" x14ac:dyDescent="0.2">
      <c r="B804" s="9"/>
    </row>
    <row r="805" spans="2:2" ht="15.75" customHeight="1" x14ac:dyDescent="0.2">
      <c r="B805" s="9"/>
    </row>
    <row r="806" spans="2:2" ht="15.75" customHeight="1" x14ac:dyDescent="0.2">
      <c r="B806" s="9"/>
    </row>
    <row r="807" spans="2:2" ht="15.75" customHeight="1" x14ac:dyDescent="0.2">
      <c r="B807" s="9"/>
    </row>
    <row r="808" spans="2:2" ht="15.75" customHeight="1" x14ac:dyDescent="0.2">
      <c r="B808" s="9"/>
    </row>
    <row r="809" spans="2:2" ht="15.75" customHeight="1" x14ac:dyDescent="0.2">
      <c r="B809" s="9"/>
    </row>
    <row r="810" spans="2:2" ht="15.75" customHeight="1" x14ac:dyDescent="0.2">
      <c r="B810" s="9"/>
    </row>
    <row r="811" spans="2:2" ht="15.75" customHeight="1" x14ac:dyDescent="0.2">
      <c r="B811" s="9"/>
    </row>
    <row r="812" spans="2:2" ht="15.75" customHeight="1" x14ac:dyDescent="0.2">
      <c r="B812" s="9"/>
    </row>
    <row r="813" spans="2:2" ht="15.75" customHeight="1" x14ac:dyDescent="0.2">
      <c r="B813" s="9"/>
    </row>
    <row r="814" spans="2:2" ht="15.75" customHeight="1" x14ac:dyDescent="0.2">
      <c r="B814" s="9"/>
    </row>
    <row r="815" spans="2:2" ht="15.75" customHeight="1" x14ac:dyDescent="0.2">
      <c r="B815" s="9"/>
    </row>
    <row r="816" spans="2:2" ht="15.75" customHeight="1" x14ac:dyDescent="0.2">
      <c r="B816" s="9"/>
    </row>
    <row r="817" spans="2:2" ht="15.75" customHeight="1" x14ac:dyDescent="0.2">
      <c r="B817" s="9"/>
    </row>
    <row r="818" spans="2:2" ht="15.75" customHeight="1" x14ac:dyDescent="0.2">
      <c r="B818" s="9"/>
    </row>
    <row r="819" spans="2:2" ht="15.75" customHeight="1" x14ac:dyDescent="0.2">
      <c r="B819" s="9"/>
    </row>
    <row r="820" spans="2:2" ht="15.75" customHeight="1" x14ac:dyDescent="0.2">
      <c r="B820" s="9"/>
    </row>
    <row r="821" spans="2:2" ht="15.75" customHeight="1" x14ac:dyDescent="0.2">
      <c r="B821" s="9"/>
    </row>
    <row r="822" spans="2:2" ht="15.75" customHeight="1" x14ac:dyDescent="0.2">
      <c r="B822" s="9"/>
    </row>
    <row r="823" spans="2:2" ht="15.75" customHeight="1" x14ac:dyDescent="0.2">
      <c r="B823" s="9"/>
    </row>
    <row r="824" spans="2:2" ht="15.75" customHeight="1" x14ac:dyDescent="0.2">
      <c r="B824" s="9"/>
    </row>
    <row r="825" spans="2:2" ht="15.75" customHeight="1" x14ac:dyDescent="0.2">
      <c r="B825" s="9"/>
    </row>
    <row r="826" spans="2:2" ht="15.75" customHeight="1" x14ac:dyDescent="0.2">
      <c r="B826" s="9"/>
    </row>
    <row r="827" spans="2:2" ht="15.75" customHeight="1" x14ac:dyDescent="0.2">
      <c r="B827" s="9"/>
    </row>
    <row r="828" spans="2:2" ht="15.75" customHeight="1" x14ac:dyDescent="0.2">
      <c r="B828" s="9"/>
    </row>
    <row r="829" spans="2:2" ht="15.75" customHeight="1" x14ac:dyDescent="0.2">
      <c r="B829" s="9"/>
    </row>
    <row r="830" spans="2:2" ht="15.75" customHeight="1" x14ac:dyDescent="0.2">
      <c r="B830" s="9"/>
    </row>
    <row r="831" spans="2:2" ht="15.75" customHeight="1" x14ac:dyDescent="0.2">
      <c r="B831" s="9"/>
    </row>
    <row r="832" spans="2:2" ht="15.75" customHeight="1" x14ac:dyDescent="0.2">
      <c r="B832" s="9"/>
    </row>
    <row r="833" spans="2:2" ht="15.75" customHeight="1" x14ac:dyDescent="0.2">
      <c r="B833" s="9"/>
    </row>
    <row r="834" spans="2:2" ht="15.75" customHeight="1" x14ac:dyDescent="0.2">
      <c r="B834" s="9"/>
    </row>
    <row r="835" spans="2:2" ht="15.75" customHeight="1" x14ac:dyDescent="0.2">
      <c r="B835" s="9"/>
    </row>
    <row r="836" spans="2:2" ht="15.75" customHeight="1" x14ac:dyDescent="0.2">
      <c r="B836" s="9"/>
    </row>
    <row r="837" spans="2:2" ht="15.75" customHeight="1" x14ac:dyDescent="0.2">
      <c r="B837" s="9"/>
    </row>
    <row r="838" spans="2:2" ht="15.75" customHeight="1" x14ac:dyDescent="0.2">
      <c r="B838" s="9"/>
    </row>
    <row r="839" spans="2:2" ht="15.75" customHeight="1" x14ac:dyDescent="0.2">
      <c r="B839" s="9"/>
    </row>
    <row r="840" spans="2:2" ht="15.75" customHeight="1" x14ac:dyDescent="0.2">
      <c r="B840" s="9"/>
    </row>
    <row r="841" spans="2:2" ht="15.75" customHeight="1" x14ac:dyDescent="0.2">
      <c r="B841" s="9"/>
    </row>
    <row r="842" spans="2:2" ht="15.75" customHeight="1" x14ac:dyDescent="0.2">
      <c r="B842" s="9"/>
    </row>
    <row r="843" spans="2:2" ht="15.75" customHeight="1" x14ac:dyDescent="0.2">
      <c r="B843" s="9"/>
    </row>
    <row r="844" spans="2:2" ht="15.75" customHeight="1" x14ac:dyDescent="0.2">
      <c r="B844" s="9"/>
    </row>
    <row r="845" spans="2:2" ht="15.75" customHeight="1" x14ac:dyDescent="0.2">
      <c r="B845" s="9"/>
    </row>
    <row r="846" spans="2:2" ht="15.75" customHeight="1" x14ac:dyDescent="0.2">
      <c r="B846" s="9"/>
    </row>
    <row r="847" spans="2:2" ht="15.75" customHeight="1" x14ac:dyDescent="0.2">
      <c r="B847" s="9"/>
    </row>
    <row r="848" spans="2:2" ht="15.75" customHeight="1" x14ac:dyDescent="0.2">
      <c r="B848" s="9"/>
    </row>
    <row r="849" spans="2:2" ht="15.75" customHeight="1" x14ac:dyDescent="0.2">
      <c r="B849" s="9"/>
    </row>
    <row r="850" spans="2:2" ht="15.75" customHeight="1" x14ac:dyDescent="0.2">
      <c r="B850" s="9"/>
    </row>
    <row r="851" spans="2:2" ht="15.75" customHeight="1" x14ac:dyDescent="0.2">
      <c r="B851" s="9"/>
    </row>
    <row r="852" spans="2:2" ht="15.75" customHeight="1" x14ac:dyDescent="0.2">
      <c r="B852" s="9"/>
    </row>
    <row r="853" spans="2:2" ht="15.75" customHeight="1" x14ac:dyDescent="0.2">
      <c r="B853" s="9"/>
    </row>
    <row r="854" spans="2:2" ht="15.75" customHeight="1" x14ac:dyDescent="0.2">
      <c r="B854" s="9"/>
    </row>
    <row r="855" spans="2:2" ht="15.75" customHeight="1" x14ac:dyDescent="0.2">
      <c r="B855" s="9"/>
    </row>
    <row r="856" spans="2:2" ht="15.75" customHeight="1" x14ac:dyDescent="0.2">
      <c r="B856" s="9"/>
    </row>
    <row r="857" spans="2:2" ht="15.75" customHeight="1" x14ac:dyDescent="0.2">
      <c r="B857" s="9"/>
    </row>
    <row r="858" spans="2:2" ht="15.75" customHeight="1" x14ac:dyDescent="0.2">
      <c r="B858" s="9"/>
    </row>
    <row r="859" spans="2:2" ht="15.75" customHeight="1" x14ac:dyDescent="0.2">
      <c r="B859" s="9"/>
    </row>
    <row r="860" spans="2:2" ht="15.75" customHeight="1" x14ac:dyDescent="0.2">
      <c r="B860" s="9"/>
    </row>
    <row r="861" spans="2:2" ht="15.75" customHeight="1" x14ac:dyDescent="0.2">
      <c r="B861" s="9"/>
    </row>
    <row r="862" spans="2:2" ht="15.75" customHeight="1" x14ac:dyDescent="0.2">
      <c r="B862" s="9"/>
    </row>
    <row r="863" spans="2:2" ht="15.75" customHeight="1" x14ac:dyDescent="0.2">
      <c r="B863" s="9"/>
    </row>
    <row r="864" spans="2:2" ht="15.75" customHeight="1" x14ac:dyDescent="0.2">
      <c r="B864" s="9"/>
    </row>
    <row r="865" spans="2:2" ht="15.75" customHeight="1" x14ac:dyDescent="0.2">
      <c r="B865" s="9"/>
    </row>
    <row r="866" spans="2:2" ht="15.75" customHeight="1" x14ac:dyDescent="0.2">
      <c r="B866" s="9"/>
    </row>
    <row r="867" spans="2:2" ht="15.75" customHeight="1" x14ac:dyDescent="0.2">
      <c r="B867" s="9"/>
    </row>
    <row r="868" spans="2:2" ht="15.75" customHeight="1" x14ac:dyDescent="0.2">
      <c r="B868" s="9"/>
    </row>
    <row r="869" spans="2:2" ht="15.75" customHeight="1" x14ac:dyDescent="0.2">
      <c r="B869" s="9"/>
    </row>
    <row r="870" spans="2:2" ht="15.75" customHeight="1" x14ac:dyDescent="0.2">
      <c r="B870" s="9"/>
    </row>
    <row r="871" spans="2:2" ht="15.75" customHeight="1" x14ac:dyDescent="0.2">
      <c r="B871" s="9"/>
    </row>
    <row r="872" spans="2:2" ht="15.75" customHeight="1" x14ac:dyDescent="0.2">
      <c r="B872" s="9"/>
    </row>
    <row r="873" spans="2:2" ht="15.75" customHeight="1" x14ac:dyDescent="0.2">
      <c r="B873" s="9"/>
    </row>
    <row r="874" spans="2:2" ht="15.75" customHeight="1" x14ac:dyDescent="0.2">
      <c r="B874" s="9"/>
    </row>
    <row r="875" spans="2:2" ht="15.75" customHeight="1" x14ac:dyDescent="0.2">
      <c r="B875" s="9"/>
    </row>
    <row r="876" spans="2:2" ht="15.75" customHeight="1" x14ac:dyDescent="0.2">
      <c r="B876" s="9"/>
    </row>
    <row r="877" spans="2:2" ht="15.75" customHeight="1" x14ac:dyDescent="0.2">
      <c r="B877" s="9"/>
    </row>
    <row r="878" spans="2:2" ht="15.75" customHeight="1" x14ac:dyDescent="0.2">
      <c r="B878" s="9"/>
    </row>
    <row r="879" spans="2:2" ht="15.75" customHeight="1" x14ac:dyDescent="0.2">
      <c r="B879" s="9"/>
    </row>
    <row r="880" spans="2:2" ht="15.75" customHeight="1" x14ac:dyDescent="0.2">
      <c r="B880" s="9"/>
    </row>
    <row r="881" spans="2:2" ht="15.75" customHeight="1" x14ac:dyDescent="0.2">
      <c r="B881" s="9"/>
    </row>
    <row r="882" spans="2:2" ht="15.75" customHeight="1" x14ac:dyDescent="0.2">
      <c r="B882" s="9"/>
    </row>
    <row r="883" spans="2:2" ht="15.75" customHeight="1" x14ac:dyDescent="0.2">
      <c r="B883" s="9"/>
    </row>
    <row r="884" spans="2:2" ht="15.75" customHeight="1" x14ac:dyDescent="0.2">
      <c r="B884" s="9"/>
    </row>
    <row r="885" spans="2:2" ht="15.75" customHeight="1" x14ac:dyDescent="0.2">
      <c r="B885" s="9"/>
    </row>
    <row r="886" spans="2:2" ht="15.75" customHeight="1" x14ac:dyDescent="0.2">
      <c r="B886" s="9"/>
    </row>
    <row r="887" spans="2:2" ht="15.75" customHeight="1" x14ac:dyDescent="0.2">
      <c r="B887" s="9"/>
    </row>
    <row r="888" spans="2:2" ht="15.75" customHeight="1" x14ac:dyDescent="0.2">
      <c r="B888" s="9"/>
    </row>
    <row r="889" spans="2:2" ht="15.75" customHeight="1" x14ac:dyDescent="0.2">
      <c r="B889" s="9"/>
    </row>
    <row r="890" spans="2:2" ht="15.75" customHeight="1" x14ac:dyDescent="0.2">
      <c r="B890" s="9"/>
    </row>
    <row r="891" spans="2:2" ht="15.75" customHeight="1" x14ac:dyDescent="0.2">
      <c r="B891" s="9"/>
    </row>
    <row r="892" spans="2:2" ht="15.75" customHeight="1" x14ac:dyDescent="0.2">
      <c r="B892" s="9"/>
    </row>
    <row r="893" spans="2:2" ht="15.75" customHeight="1" x14ac:dyDescent="0.2">
      <c r="B893" s="9"/>
    </row>
    <row r="894" spans="2:2" ht="15.75" customHeight="1" x14ac:dyDescent="0.2">
      <c r="B894" s="9"/>
    </row>
    <row r="895" spans="2:2" ht="15.75" customHeight="1" x14ac:dyDescent="0.2">
      <c r="B895" s="9"/>
    </row>
    <row r="896" spans="2:2" ht="15.75" customHeight="1" x14ac:dyDescent="0.2">
      <c r="B896" s="9"/>
    </row>
    <row r="897" spans="2:2" ht="15.75" customHeight="1" x14ac:dyDescent="0.2">
      <c r="B897" s="9"/>
    </row>
    <row r="898" spans="2:2" ht="15.75" customHeight="1" x14ac:dyDescent="0.2">
      <c r="B898" s="9"/>
    </row>
    <row r="899" spans="2:2" ht="15.75" customHeight="1" x14ac:dyDescent="0.2">
      <c r="B899" s="9"/>
    </row>
    <row r="900" spans="2:2" ht="15.75" customHeight="1" x14ac:dyDescent="0.2">
      <c r="B900" s="9"/>
    </row>
    <row r="901" spans="2:2" ht="15.75" customHeight="1" x14ac:dyDescent="0.2">
      <c r="B901" s="9"/>
    </row>
    <row r="902" spans="2:2" ht="15.75" customHeight="1" x14ac:dyDescent="0.2">
      <c r="B902" s="9"/>
    </row>
    <row r="903" spans="2:2" ht="15.75" customHeight="1" x14ac:dyDescent="0.2">
      <c r="B903" s="9"/>
    </row>
    <row r="904" spans="2:2" ht="15.75" customHeight="1" x14ac:dyDescent="0.2">
      <c r="B904" s="9"/>
    </row>
    <row r="905" spans="2:2" ht="15.75" customHeight="1" x14ac:dyDescent="0.2">
      <c r="B905" s="9"/>
    </row>
    <row r="906" spans="2:2" ht="15.75" customHeight="1" x14ac:dyDescent="0.2">
      <c r="B906" s="9"/>
    </row>
    <row r="907" spans="2:2" ht="15.75" customHeight="1" x14ac:dyDescent="0.2">
      <c r="B907" s="9"/>
    </row>
    <row r="908" spans="2:2" ht="15.75" customHeight="1" x14ac:dyDescent="0.2">
      <c r="B908" s="9"/>
    </row>
    <row r="909" spans="2:2" ht="15.75" customHeight="1" x14ac:dyDescent="0.2">
      <c r="B909" s="9"/>
    </row>
    <row r="910" spans="2:2" ht="15.75" customHeight="1" x14ac:dyDescent="0.2">
      <c r="B910" s="9"/>
    </row>
    <row r="911" spans="2:2" ht="15.75" customHeight="1" x14ac:dyDescent="0.2">
      <c r="B911" s="9"/>
    </row>
    <row r="912" spans="2:2" ht="15.75" customHeight="1" x14ac:dyDescent="0.2">
      <c r="B912" s="9"/>
    </row>
    <row r="913" spans="2:2" ht="15.75" customHeight="1" x14ac:dyDescent="0.2">
      <c r="B913" s="9"/>
    </row>
    <row r="914" spans="2:2" ht="15.75" customHeight="1" x14ac:dyDescent="0.2">
      <c r="B914" s="9"/>
    </row>
    <row r="915" spans="2:2" ht="15.75" customHeight="1" x14ac:dyDescent="0.2">
      <c r="B915" s="9"/>
    </row>
    <row r="916" spans="2:2" ht="15.75" customHeight="1" x14ac:dyDescent="0.2">
      <c r="B916" s="9"/>
    </row>
    <row r="917" spans="2:2" ht="15.75" customHeight="1" x14ac:dyDescent="0.2">
      <c r="B917" s="9"/>
    </row>
    <row r="918" spans="2:2" ht="15.75" customHeight="1" x14ac:dyDescent="0.2">
      <c r="B918" s="9"/>
    </row>
    <row r="919" spans="2:2" ht="15.75" customHeight="1" x14ac:dyDescent="0.2">
      <c r="B919" s="9"/>
    </row>
    <row r="920" spans="2:2" ht="15.75" customHeight="1" x14ac:dyDescent="0.2">
      <c r="B920" s="9"/>
    </row>
    <row r="921" spans="2:2" ht="15.75" customHeight="1" x14ac:dyDescent="0.2">
      <c r="B921" s="9"/>
    </row>
    <row r="922" spans="2:2" ht="15.75" customHeight="1" x14ac:dyDescent="0.2">
      <c r="B922" s="9"/>
    </row>
    <row r="923" spans="2:2" ht="15.75" customHeight="1" x14ac:dyDescent="0.2">
      <c r="B923" s="9"/>
    </row>
    <row r="924" spans="2:2" ht="15.75" customHeight="1" x14ac:dyDescent="0.2">
      <c r="B924" s="9"/>
    </row>
    <row r="925" spans="2:2" ht="15.75" customHeight="1" x14ac:dyDescent="0.2">
      <c r="B925" s="9"/>
    </row>
    <row r="926" spans="2:2" ht="15.75" customHeight="1" x14ac:dyDescent="0.2">
      <c r="B926" s="9"/>
    </row>
    <row r="927" spans="2:2" ht="15.75" customHeight="1" x14ac:dyDescent="0.2">
      <c r="B927" s="9"/>
    </row>
    <row r="928" spans="2:2" ht="15.75" customHeight="1" x14ac:dyDescent="0.2">
      <c r="B928" s="9"/>
    </row>
    <row r="929" spans="2:2" ht="15.75" customHeight="1" x14ac:dyDescent="0.2">
      <c r="B929" s="9"/>
    </row>
    <row r="930" spans="2:2" ht="15.75" customHeight="1" x14ac:dyDescent="0.2">
      <c r="B930" s="9"/>
    </row>
    <row r="931" spans="2:2" ht="15.75" customHeight="1" x14ac:dyDescent="0.2">
      <c r="B931" s="9"/>
    </row>
    <row r="932" spans="2:2" ht="15.75" customHeight="1" x14ac:dyDescent="0.2">
      <c r="B932" s="9"/>
    </row>
    <row r="933" spans="2:2" ht="15.75" customHeight="1" x14ac:dyDescent="0.2">
      <c r="B933" s="9"/>
    </row>
    <row r="934" spans="2:2" ht="15.75" customHeight="1" x14ac:dyDescent="0.2">
      <c r="B934" s="9"/>
    </row>
    <row r="935" spans="2:2" ht="15.75" customHeight="1" x14ac:dyDescent="0.2">
      <c r="B935" s="9"/>
    </row>
    <row r="936" spans="2:2" ht="15.75" customHeight="1" x14ac:dyDescent="0.2">
      <c r="B936" s="9"/>
    </row>
    <row r="937" spans="2:2" ht="15.75" customHeight="1" x14ac:dyDescent="0.2">
      <c r="B937" s="9"/>
    </row>
    <row r="938" spans="2:2" ht="15.75" customHeight="1" x14ac:dyDescent="0.2">
      <c r="B938" s="9"/>
    </row>
    <row r="939" spans="2:2" ht="15.75" customHeight="1" x14ac:dyDescent="0.2">
      <c r="B939" s="9"/>
    </row>
    <row r="940" spans="2:2" ht="15.75" customHeight="1" x14ac:dyDescent="0.2">
      <c r="B940" s="9"/>
    </row>
    <row r="941" spans="2:2" ht="15.75" customHeight="1" x14ac:dyDescent="0.2">
      <c r="B941" s="9"/>
    </row>
    <row r="942" spans="2:2" ht="15.75" customHeight="1" x14ac:dyDescent="0.2">
      <c r="B942" s="9"/>
    </row>
    <row r="943" spans="2:2" ht="15.75" customHeight="1" x14ac:dyDescent="0.2">
      <c r="B943" s="9"/>
    </row>
    <row r="944" spans="2:2" ht="15.75" customHeight="1" x14ac:dyDescent="0.2">
      <c r="B944" s="9"/>
    </row>
    <row r="945" spans="2:2" ht="15.75" customHeight="1" x14ac:dyDescent="0.2">
      <c r="B945" s="9"/>
    </row>
    <row r="946" spans="2:2" ht="15.75" customHeight="1" x14ac:dyDescent="0.2">
      <c r="B946" s="9"/>
    </row>
    <row r="947" spans="2:2" ht="15.75" customHeight="1" x14ac:dyDescent="0.2">
      <c r="B947" s="9"/>
    </row>
    <row r="948" spans="2:2" ht="15.75" customHeight="1" x14ac:dyDescent="0.2">
      <c r="B948" s="9"/>
    </row>
    <row r="949" spans="2:2" ht="15.75" customHeight="1" x14ac:dyDescent="0.2">
      <c r="B949" s="9"/>
    </row>
    <row r="950" spans="2:2" ht="15.75" customHeight="1" x14ac:dyDescent="0.2">
      <c r="B950" s="9"/>
    </row>
    <row r="951" spans="2:2" ht="15.75" customHeight="1" x14ac:dyDescent="0.2">
      <c r="B951" s="9"/>
    </row>
    <row r="952" spans="2:2" ht="15.75" customHeight="1" x14ac:dyDescent="0.2">
      <c r="B952" s="9"/>
    </row>
    <row r="953" spans="2:2" ht="15.75" customHeight="1" x14ac:dyDescent="0.2">
      <c r="B953" s="9"/>
    </row>
    <row r="954" spans="2:2" ht="15.75" customHeight="1" x14ac:dyDescent="0.2">
      <c r="B954" s="9"/>
    </row>
    <row r="955" spans="2:2" ht="15.75" customHeight="1" x14ac:dyDescent="0.2">
      <c r="B955" s="9"/>
    </row>
    <row r="956" spans="2:2" ht="15.75" customHeight="1" x14ac:dyDescent="0.2">
      <c r="B956" s="9"/>
    </row>
    <row r="957" spans="2:2" ht="15.75" customHeight="1" x14ac:dyDescent="0.2">
      <c r="B957" s="9"/>
    </row>
    <row r="958" spans="2:2" ht="15.75" customHeight="1" x14ac:dyDescent="0.2">
      <c r="B958" s="9"/>
    </row>
    <row r="959" spans="2:2" ht="15.75" customHeight="1" x14ac:dyDescent="0.2">
      <c r="B959" s="9"/>
    </row>
    <row r="960" spans="2:2" ht="15.75" customHeight="1" x14ac:dyDescent="0.2">
      <c r="B960" s="9"/>
    </row>
    <row r="961" spans="2:2" ht="15.75" customHeight="1" x14ac:dyDescent="0.2">
      <c r="B961" s="9"/>
    </row>
    <row r="962" spans="2:2" ht="15.75" customHeight="1" x14ac:dyDescent="0.2">
      <c r="B962" s="9"/>
    </row>
    <row r="963" spans="2:2" ht="15.75" customHeight="1" x14ac:dyDescent="0.2">
      <c r="B963" s="9"/>
    </row>
    <row r="964" spans="2:2" ht="15.75" customHeight="1" x14ac:dyDescent="0.2">
      <c r="B964" s="9"/>
    </row>
    <row r="965" spans="2:2" ht="15.75" customHeight="1" x14ac:dyDescent="0.2">
      <c r="B965" s="9"/>
    </row>
    <row r="966" spans="2:2" ht="15.75" customHeight="1" x14ac:dyDescent="0.2">
      <c r="B966" s="9"/>
    </row>
    <row r="967" spans="2:2" ht="15.75" customHeight="1" x14ac:dyDescent="0.2">
      <c r="B967" s="9"/>
    </row>
    <row r="968" spans="2:2" ht="15.75" customHeight="1" x14ac:dyDescent="0.2">
      <c r="B968" s="9"/>
    </row>
    <row r="969" spans="2:2" ht="15.75" customHeight="1" x14ac:dyDescent="0.2">
      <c r="B969" s="9"/>
    </row>
    <row r="970" spans="2:2" ht="15.75" customHeight="1" x14ac:dyDescent="0.2">
      <c r="B970" s="9"/>
    </row>
    <row r="971" spans="2:2" ht="15.75" customHeight="1" x14ac:dyDescent="0.2">
      <c r="B971" s="9"/>
    </row>
    <row r="972" spans="2:2" ht="15.75" customHeight="1" x14ac:dyDescent="0.2">
      <c r="B972" s="9"/>
    </row>
    <row r="973" spans="2:2" ht="15.75" customHeight="1" x14ac:dyDescent="0.2">
      <c r="B973" s="9"/>
    </row>
    <row r="974" spans="2:2" ht="15.75" customHeight="1" x14ac:dyDescent="0.2">
      <c r="B974" s="9"/>
    </row>
    <row r="975" spans="2:2" ht="15.75" customHeight="1" x14ac:dyDescent="0.2">
      <c r="B975" s="9"/>
    </row>
    <row r="976" spans="2:2" ht="15.75" customHeight="1" x14ac:dyDescent="0.2">
      <c r="B976" s="9"/>
    </row>
    <row r="977" spans="2:2" ht="15.75" customHeight="1" x14ac:dyDescent="0.2">
      <c r="B977" s="9"/>
    </row>
    <row r="978" spans="2:2" ht="15.75" customHeight="1" x14ac:dyDescent="0.2">
      <c r="B978" s="9"/>
    </row>
    <row r="979" spans="2:2" ht="15.75" customHeight="1" x14ac:dyDescent="0.2">
      <c r="B979" s="9"/>
    </row>
    <row r="980" spans="2:2" ht="15.75" customHeight="1" x14ac:dyDescent="0.2">
      <c r="B980" s="9"/>
    </row>
    <row r="981" spans="2:2" ht="15.75" customHeight="1" x14ac:dyDescent="0.2">
      <c r="B981" s="9"/>
    </row>
    <row r="982" spans="2:2" ht="15.75" customHeight="1" x14ac:dyDescent="0.2">
      <c r="B982" s="9"/>
    </row>
    <row r="983" spans="2:2" ht="15.75" customHeight="1" x14ac:dyDescent="0.2">
      <c r="B983" s="9"/>
    </row>
    <row r="984" spans="2:2" ht="15.75" customHeight="1" x14ac:dyDescent="0.2">
      <c r="B984" s="9"/>
    </row>
    <row r="985" spans="2:2" ht="15.75" customHeight="1" x14ac:dyDescent="0.2">
      <c r="B985" s="9"/>
    </row>
    <row r="986" spans="2:2" ht="15.75" customHeight="1" x14ac:dyDescent="0.2">
      <c r="B986" s="9"/>
    </row>
    <row r="987" spans="2:2" ht="15.75" customHeight="1" x14ac:dyDescent="0.2">
      <c r="B987" s="9"/>
    </row>
    <row r="988" spans="2:2" ht="15.75" customHeight="1" x14ac:dyDescent="0.2">
      <c r="B988" s="9"/>
    </row>
    <row r="989" spans="2:2" ht="15.75" customHeight="1" x14ac:dyDescent="0.2">
      <c r="B989" s="9"/>
    </row>
    <row r="990" spans="2:2" ht="15.75" customHeight="1" x14ac:dyDescent="0.2">
      <c r="B990" s="9"/>
    </row>
    <row r="991" spans="2:2" ht="15.75" customHeight="1" x14ac:dyDescent="0.2">
      <c r="B991" s="9"/>
    </row>
    <row r="992" spans="2:2" ht="15.75" customHeight="1" x14ac:dyDescent="0.2">
      <c r="B992" s="9"/>
    </row>
    <row r="993" spans="2:2" ht="15.75" customHeight="1" x14ac:dyDescent="0.2">
      <c r="B993" s="9"/>
    </row>
    <row r="994" spans="2:2" ht="15.75" customHeight="1" x14ac:dyDescent="0.2">
      <c r="B994" s="9"/>
    </row>
    <row r="995" spans="2:2" ht="15.75" customHeight="1" x14ac:dyDescent="0.2">
      <c r="B995" s="9"/>
    </row>
    <row r="996" spans="2:2" ht="15.75" customHeight="1" x14ac:dyDescent="0.2">
      <c r="B996" s="9"/>
    </row>
    <row r="997" spans="2:2" ht="15.75" customHeight="1" x14ac:dyDescent="0.2">
      <c r="B997" s="9"/>
    </row>
    <row r="998" spans="2:2" ht="15.75" customHeight="1" x14ac:dyDescent="0.2">
      <c r="B998" s="9"/>
    </row>
    <row r="999" spans="2:2" ht="15.75" customHeight="1" x14ac:dyDescent="0.2">
      <c r="B999" s="9"/>
    </row>
    <row r="1000" spans="2:2" ht="15.75" customHeight="1" x14ac:dyDescent="0.2">
      <c r="B1000" s="9"/>
    </row>
    <row r="1001" spans="2:2" ht="15.75" customHeight="1" x14ac:dyDescent="0.2">
      <c r="B1001" s="9"/>
    </row>
  </sheetData>
  <mergeCells count="1">
    <mergeCell ref="A3:B3"/>
  </mergeCells>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lackScholes">
                <anchor moveWithCells="1" sizeWithCells="1">
                  <from>
                    <xdr:col>3</xdr:col>
                    <xdr:colOff>88900</xdr:colOff>
                    <xdr:row>4</xdr:row>
                    <xdr:rowOff>139700</xdr:rowOff>
                  </from>
                  <to>
                    <xdr:col>3</xdr:col>
                    <xdr:colOff>1612900</xdr:colOff>
                    <xdr:row>6</xdr:row>
                    <xdr:rowOff>139700</xdr:rowOff>
                  </to>
                </anchor>
              </controlPr>
            </control>
          </mc:Choice>
        </mc:AlternateContent>
        <mc:AlternateContent xmlns:mc="http://schemas.openxmlformats.org/markup-compatibility/2006">
          <mc:Choice Requires="x14">
            <control shapeId="3074" r:id="rId4" name="Button 2">
              <controlPr defaultSize="0" print="0" autoFill="0" autoPict="0" macro="[0]!ReadMeSheet">
                <anchor moveWithCells="1" sizeWithCells="1">
                  <from>
                    <xdr:col>3</xdr:col>
                    <xdr:colOff>88900</xdr:colOff>
                    <xdr:row>8</xdr:row>
                    <xdr:rowOff>12700</xdr:rowOff>
                  </from>
                  <to>
                    <xdr:col>3</xdr:col>
                    <xdr:colOff>1612900</xdr:colOff>
                    <xdr:row>10</xdr:row>
                    <xdr:rowOff>12700</xdr:rowOff>
                  </to>
                </anchor>
              </controlPr>
            </control>
          </mc:Choice>
        </mc:AlternateContent>
        <mc:AlternateContent xmlns:mc="http://schemas.openxmlformats.org/markup-compatibility/2006">
          <mc:Choice Requires="x14">
            <control shapeId="3075" r:id="rId5" name="Button 3">
              <controlPr defaultSize="0" print="0" autoFill="0" autoPict="0" macro="[0]!BinomialSheet">
                <anchor moveWithCells="1" sizeWithCells="1">
                  <from>
                    <xdr:col>3</xdr:col>
                    <xdr:colOff>88900</xdr:colOff>
                    <xdr:row>1</xdr:row>
                    <xdr:rowOff>114300</xdr:rowOff>
                  </from>
                  <to>
                    <xdr:col>3</xdr:col>
                    <xdr:colOff>1612900</xdr:colOff>
                    <xdr:row>3</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200-000000000000}">
          <x14:formula1>
            <xm:f>Aux!$A$3:$A$4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N1000"/>
  <sheetViews>
    <sheetView showGridLines="0" zoomScale="76" workbookViewId="0">
      <selection activeCell="M28" sqref="M28"/>
    </sheetView>
  </sheetViews>
  <sheetFormatPr baseColWidth="10" defaultColWidth="12.6640625" defaultRowHeight="19" customHeight="1" x14ac:dyDescent="0.15"/>
  <cols>
    <col min="1" max="1" width="18.5" customWidth="1"/>
    <col min="2" max="2" width="15.6640625" customWidth="1"/>
    <col min="3" max="3" width="11.1640625" customWidth="1"/>
    <col min="4" max="4" width="19" customWidth="1"/>
    <col min="5" max="5" width="18.6640625" customWidth="1"/>
    <col min="6" max="6" width="11.1640625" customWidth="1"/>
    <col min="7" max="7" width="13.1640625" customWidth="1"/>
    <col min="8" max="11" width="11.1640625" customWidth="1"/>
    <col min="12" max="12" width="12" customWidth="1"/>
    <col min="13" max="13" width="17.5" customWidth="1"/>
    <col min="14" max="14" width="16.33203125" customWidth="1"/>
    <col min="15" max="40" width="11.1640625" customWidth="1"/>
  </cols>
  <sheetData>
    <row r="1" spans="1:40" ht="19" customHeight="1" x14ac:dyDescent="0.15">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row>
    <row r="2" spans="1:40" ht="40" customHeight="1" x14ac:dyDescent="0.6">
      <c r="A2" s="10"/>
      <c r="B2" s="10"/>
      <c r="C2" s="10"/>
      <c r="D2" s="11" t="s">
        <v>20</v>
      </c>
      <c r="E2" s="11"/>
      <c r="F2" s="10"/>
      <c r="G2" s="12"/>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row>
    <row r="3" spans="1:40" ht="19" customHeight="1" x14ac:dyDescent="0.15">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row>
    <row r="4" spans="1:40" ht="19" customHeight="1" x14ac:dyDescent="0.15">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row>
    <row r="5" spans="1:40" ht="19" customHeight="1" x14ac:dyDescent="0.2">
      <c r="A5" s="10"/>
      <c r="B5" s="13" t="s">
        <v>21</v>
      </c>
      <c r="C5" s="10"/>
      <c r="D5" s="10"/>
      <c r="E5" s="13" t="s">
        <v>22</v>
      </c>
      <c r="F5" s="10"/>
      <c r="G5" s="14" t="s">
        <v>23</v>
      </c>
      <c r="H5" s="15">
        <f>IF(Inputs!bs_option_type="Call",BinomialModel!B53,BinomialModel!B80)</f>
        <v>4.5323569359190158E-2</v>
      </c>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row>
    <row r="6" spans="1:40" ht="19" customHeight="1" x14ac:dyDescent="0.2">
      <c r="A6" s="16" t="s">
        <v>24</v>
      </c>
      <c r="B6" s="17">
        <f>EXP(Inputs!Sigma*SQRT(1/(Inputs!Time*12)))</f>
        <v>1.0048789261580791</v>
      </c>
      <c r="C6" s="10"/>
      <c r="D6" s="16" t="s">
        <v>25</v>
      </c>
      <c r="E6" s="17">
        <f>((1+Rate)^(1/(Time*12))-1)</f>
        <v>1.323654354508319E-3</v>
      </c>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row>
    <row r="7" spans="1:40" ht="19" customHeight="1" x14ac:dyDescent="0.2">
      <c r="A7" s="16" t="s">
        <v>26</v>
      </c>
      <c r="B7" s="17">
        <f>EXP(-Inputs!Sigma*SQRT(1/(Time*12)))</f>
        <v>0.9951447621886822</v>
      </c>
      <c r="C7" s="10"/>
      <c r="D7" s="16" t="s">
        <v>27</v>
      </c>
      <c r="E7" s="17">
        <f>(EXP(Rate*(((Time*12)/12)/n_periods))-B7)/(B6-B7)</f>
        <v>0.63584920576564841</v>
      </c>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row>
    <row r="8" spans="1:40" ht="19" customHeight="1" x14ac:dyDescent="0.1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row>
    <row r="9" spans="1:40" ht="19" customHeight="1" x14ac:dyDescent="0.1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row>
    <row r="10" spans="1:40" ht="19" customHeight="1" x14ac:dyDescent="0.1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row>
    <row r="11" spans="1:40" ht="19" customHeight="1" x14ac:dyDescent="0.2">
      <c r="A11" s="18">
        <v>0</v>
      </c>
      <c r="B11" s="18">
        <v>1</v>
      </c>
      <c r="C11" s="18">
        <v>2</v>
      </c>
      <c r="D11" s="18">
        <v>3</v>
      </c>
      <c r="E11" s="18">
        <v>4</v>
      </c>
      <c r="F11" s="18">
        <v>5</v>
      </c>
      <c r="G11" s="18">
        <v>6</v>
      </c>
      <c r="H11" s="18">
        <v>7</v>
      </c>
      <c r="I11" s="18">
        <v>8</v>
      </c>
      <c r="J11" s="18">
        <v>9</v>
      </c>
      <c r="K11" s="18">
        <v>10</v>
      </c>
      <c r="L11" s="18">
        <v>11</v>
      </c>
      <c r="M11" s="18" t="s">
        <v>28</v>
      </c>
      <c r="N11" s="18" t="s">
        <v>29</v>
      </c>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row>
    <row r="12" spans="1:40" ht="35" customHeight="1" x14ac:dyDescent="0.3">
      <c r="A12" s="10"/>
      <c r="B12" s="5" t="s">
        <v>30</v>
      </c>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row>
    <row r="13" spans="1:40" ht="18" customHeight="1" x14ac:dyDescent="0.2">
      <c r="A13" s="19"/>
      <c r="B13" s="19"/>
      <c r="C13" s="19"/>
      <c r="D13" s="19"/>
      <c r="E13" s="19"/>
      <c r="F13" s="19"/>
      <c r="G13" s="19"/>
      <c r="H13" s="19"/>
      <c r="I13" s="19"/>
      <c r="J13" s="19"/>
      <c r="K13" s="19"/>
      <c r="L13" s="19"/>
      <c r="M13" s="20">
        <f>L14*$B$6</f>
        <v>153.55125777033439</v>
      </c>
      <c r="N13" s="20">
        <f>M13*(1-dividend_rate)</f>
        <v>152.62995022371237</v>
      </c>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row>
    <row r="14" spans="1:40" ht="19" customHeight="1" x14ac:dyDescent="0.2">
      <c r="A14" s="19"/>
      <c r="B14" s="19"/>
      <c r="C14" s="19"/>
      <c r="D14" s="19"/>
      <c r="E14" s="19"/>
      <c r="F14" s="19"/>
      <c r="G14" s="19"/>
      <c r="H14" s="19"/>
      <c r="I14" s="19"/>
      <c r="J14" s="19"/>
      <c r="K14" s="19"/>
      <c r="L14" s="21">
        <f>K15*$B$6</f>
        <v>152.80572989763246</v>
      </c>
      <c r="M14" s="22"/>
      <c r="N14" s="22"/>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row>
    <row r="15" spans="1:40" ht="19" customHeight="1" x14ac:dyDescent="0.2">
      <c r="A15" s="19"/>
      <c r="B15" s="19"/>
      <c r="C15" s="19"/>
      <c r="D15" s="19"/>
      <c r="E15" s="19"/>
      <c r="F15" s="19"/>
      <c r="G15" s="19"/>
      <c r="H15" s="19"/>
      <c r="I15" s="19"/>
      <c r="J15" s="19"/>
      <c r="K15" s="21">
        <f>J16*$B$6</f>
        <v>152.06382174004747</v>
      </c>
      <c r="L15" s="19"/>
      <c r="M15" s="20">
        <f>L14*$B$7</f>
        <v>152.06382174004747</v>
      </c>
      <c r="N15" s="20">
        <f>M15*(1-dividend_rate)</f>
        <v>151.15143880960719</v>
      </c>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row>
    <row r="16" spans="1:40" ht="19" customHeight="1" x14ac:dyDescent="0.3">
      <c r="A16" s="19"/>
      <c r="B16" s="23"/>
      <c r="C16" s="19"/>
      <c r="D16" s="19"/>
      <c r="E16" s="19"/>
      <c r="F16" s="19"/>
      <c r="G16" s="19"/>
      <c r="H16" s="19"/>
      <c r="I16" s="19"/>
      <c r="J16" s="21">
        <f>I17*$B$6</f>
        <v>151.32551572300173</v>
      </c>
      <c r="K16" s="19"/>
      <c r="L16" s="21">
        <f>K15*$B$7</f>
        <v>151.3255157230017</v>
      </c>
      <c r="M16" s="22"/>
      <c r="N16" s="22"/>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row>
    <row r="17" spans="1:40" ht="19" customHeight="1" x14ac:dyDescent="0.2">
      <c r="A17" s="19"/>
      <c r="B17" s="19"/>
      <c r="C17" s="19"/>
      <c r="D17" s="19"/>
      <c r="E17" s="19"/>
      <c r="F17" s="19"/>
      <c r="G17" s="19"/>
      <c r="H17" s="19"/>
      <c r="I17" s="21">
        <f>H18*$B$6</f>
        <v>150.59079435724627</v>
      </c>
      <c r="J17" s="19"/>
      <c r="K17" s="21">
        <f>J16*$B$7</f>
        <v>150.59079435724624</v>
      </c>
      <c r="L17" s="19"/>
      <c r="M17" s="20">
        <f>L16*$B$7</f>
        <v>150.59079435724621</v>
      </c>
      <c r="N17" s="20">
        <f>M17*(1-dividend_rate)</f>
        <v>149.68724959110273</v>
      </c>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row>
    <row r="18" spans="1:40" ht="19" customHeight="1" x14ac:dyDescent="0.2">
      <c r="A18" s="19"/>
      <c r="B18" s="19"/>
      <c r="C18" s="19"/>
      <c r="D18" s="19"/>
      <c r="E18" s="19"/>
      <c r="F18" s="19"/>
      <c r="G18" s="19"/>
      <c r="H18" s="21">
        <f>G19*$B$6</f>
        <v>149.85964023844659</v>
      </c>
      <c r="I18" s="19"/>
      <c r="J18" s="21">
        <f>I17*$B$7</f>
        <v>149.85964023844659</v>
      </c>
      <c r="K18" s="19"/>
      <c r="L18" s="21">
        <f>K17*$B$7</f>
        <v>149.85964023844656</v>
      </c>
      <c r="M18" s="22"/>
      <c r="N18" s="22"/>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row>
    <row r="19" spans="1:40" ht="19" customHeight="1" x14ac:dyDescent="0.2">
      <c r="A19" s="19"/>
      <c r="B19" s="19"/>
      <c r="C19" s="19"/>
      <c r="D19" s="19"/>
      <c r="E19" s="19"/>
      <c r="F19" s="19"/>
      <c r="G19" s="21">
        <f>F20*$B$6</f>
        <v>149.13203604677042</v>
      </c>
      <c r="H19" s="19"/>
      <c r="I19" s="21">
        <f>H18*$B$7</f>
        <v>149.13203604677039</v>
      </c>
      <c r="J19" s="19"/>
      <c r="K19" s="21">
        <f>J18*$B$7</f>
        <v>149.13203604677039</v>
      </c>
      <c r="L19" s="19"/>
      <c r="M19" s="20">
        <f>L18*$B$7</f>
        <v>149.13203604677037</v>
      </c>
      <c r="N19" s="20">
        <f>M19*(1-dividend_rate)</f>
        <v>148.23724383048975</v>
      </c>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row>
    <row r="20" spans="1:40" ht="19" customHeight="1" x14ac:dyDescent="0.2">
      <c r="A20" s="19"/>
      <c r="B20" s="19"/>
      <c r="C20" s="19"/>
      <c r="D20" s="19"/>
      <c r="E20" s="19"/>
      <c r="F20" s="21">
        <f>E21*$B$6</f>
        <v>148.40796454647736</v>
      </c>
      <c r="G20" s="19"/>
      <c r="H20" s="21">
        <f>G19*$B$7</f>
        <v>148.40796454647733</v>
      </c>
      <c r="I20" s="19"/>
      <c r="J20" s="21">
        <f>I19*$B$7</f>
        <v>148.4079645464773</v>
      </c>
      <c r="K20" s="19"/>
      <c r="L20" s="21">
        <f>K19*$B$7</f>
        <v>148.4079645464773</v>
      </c>
      <c r="M20" s="22"/>
      <c r="N20" s="22"/>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row>
    <row r="21" spans="1:40" ht="19" customHeight="1" x14ac:dyDescent="0.2">
      <c r="A21" s="19"/>
      <c r="B21" s="19"/>
      <c r="C21" s="19"/>
      <c r="D21" s="19"/>
      <c r="E21" s="21">
        <f>D22*$B$6</f>
        <v>147.68740858551061</v>
      </c>
      <c r="F21" s="19"/>
      <c r="G21" s="21">
        <f>F20*$B$7</f>
        <v>147.68740858551058</v>
      </c>
      <c r="H21" s="19"/>
      <c r="I21" s="21">
        <f>H20*$B$7</f>
        <v>147.68740858551055</v>
      </c>
      <c r="J21" s="19"/>
      <c r="K21" s="21">
        <f>J20*$B$7</f>
        <v>147.68740858551052</v>
      </c>
      <c r="L21" s="19"/>
      <c r="M21" s="20">
        <f>L20*$B$7</f>
        <v>147.68740858551052</v>
      </c>
      <c r="N21" s="20">
        <f>M21*(1-dividend_rate)</f>
        <v>146.80128413399746</v>
      </c>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row>
    <row r="22" spans="1:40" ht="19" customHeight="1" x14ac:dyDescent="0.2">
      <c r="A22" s="19"/>
      <c r="B22" s="19"/>
      <c r="C22" s="19"/>
      <c r="D22" s="21">
        <f>C23*$B$6</f>
        <v>146.97035109509071</v>
      </c>
      <c r="E22" s="19"/>
      <c r="F22" s="21">
        <f>E21*$B$7</f>
        <v>146.97035109509071</v>
      </c>
      <c r="G22" s="19"/>
      <c r="H22" s="21">
        <f>G21*$B$7</f>
        <v>146.97035109509068</v>
      </c>
      <c r="I22" s="19"/>
      <c r="J22" s="21">
        <f>I21*$B$7</f>
        <v>146.97035109509065</v>
      </c>
      <c r="K22" s="19"/>
      <c r="L22" s="21">
        <f>K21*$B$7</f>
        <v>146.97035109509062</v>
      </c>
      <c r="M22" s="22"/>
      <c r="N22" s="22"/>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row>
    <row r="23" spans="1:40" ht="19" customHeight="1" x14ac:dyDescent="0.2">
      <c r="A23" s="19"/>
      <c r="B23" s="19"/>
      <c r="C23" s="21">
        <f>B24*$B$6</f>
        <v>146.25677508931119</v>
      </c>
      <c r="D23" s="19"/>
      <c r="E23" s="21">
        <f>D22*$B$7</f>
        <v>146.25677508931116</v>
      </c>
      <c r="F23" s="19"/>
      <c r="G23" s="21">
        <f>F22*$B$7</f>
        <v>146.25677508931116</v>
      </c>
      <c r="H23" s="19"/>
      <c r="I23" s="21">
        <f>H22*$B$7</f>
        <v>146.25677508931113</v>
      </c>
      <c r="J23" s="19"/>
      <c r="K23" s="21">
        <f>J22*$B$7</f>
        <v>146.25677508931111</v>
      </c>
      <c r="L23" s="19"/>
      <c r="M23" s="20">
        <f>L22*$B$7</f>
        <v>146.25677508931108</v>
      </c>
      <c r="N23" s="20">
        <f>M23*(1-dividend_rate)</f>
        <v>145.3792344387752</v>
      </c>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row>
    <row r="24" spans="1:40" ht="19" customHeight="1" x14ac:dyDescent="0.2">
      <c r="A24" s="24" t="s">
        <v>31</v>
      </c>
      <c r="B24" s="21">
        <f>A25*$B$6</f>
        <v>145.54666366473617</v>
      </c>
      <c r="C24" s="19"/>
      <c r="D24" s="21">
        <f>C23*$B$7</f>
        <v>145.54666366473617</v>
      </c>
      <c r="E24" s="19"/>
      <c r="F24" s="21">
        <f>E23*$B$7</f>
        <v>145.54666366473614</v>
      </c>
      <c r="G24" s="19"/>
      <c r="H24" s="21">
        <f>G23*$B$7</f>
        <v>145.54666366473614</v>
      </c>
      <c r="I24" s="19"/>
      <c r="J24" s="21">
        <f>I23*$B$7</f>
        <v>145.54666366473612</v>
      </c>
      <c r="K24" s="19"/>
      <c r="L24" s="21">
        <f>K23*$B$7</f>
        <v>145.54666366473609</v>
      </c>
      <c r="M24" s="22"/>
      <c r="N24" s="22"/>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row>
    <row r="25" spans="1:40" ht="19" customHeight="1" x14ac:dyDescent="0.2">
      <c r="A25" s="21">
        <f>Inputs!Stock</f>
        <v>144.84</v>
      </c>
      <c r="B25" s="19"/>
      <c r="C25" s="21">
        <f>B24*$B$7</f>
        <v>144.84</v>
      </c>
      <c r="D25" s="19"/>
      <c r="E25" s="21">
        <f>D24*$B$7</f>
        <v>144.84</v>
      </c>
      <c r="F25" s="19"/>
      <c r="G25" s="21">
        <f>F24*$B$7</f>
        <v>144.83999999999997</v>
      </c>
      <c r="H25" s="21"/>
      <c r="I25" s="21">
        <f>H24*$B$7</f>
        <v>144.83999999999997</v>
      </c>
      <c r="J25" s="19"/>
      <c r="K25" s="21">
        <f>J24*$B$7</f>
        <v>144.83999999999995</v>
      </c>
      <c r="L25" s="19"/>
      <c r="M25" s="20">
        <f>L24*$B$7</f>
        <v>144.83999999999992</v>
      </c>
      <c r="N25" s="20">
        <f>M25*(1-dividend_rate)</f>
        <v>143.97095999999991</v>
      </c>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row>
    <row r="26" spans="1:40" ht="19" customHeight="1" x14ac:dyDescent="0.2">
      <c r="A26" s="19"/>
      <c r="B26" s="21">
        <f>A25*$B$7</f>
        <v>144.13676735540872</v>
      </c>
      <c r="C26" s="19"/>
      <c r="D26" s="21">
        <f>C25*$B$7</f>
        <v>144.13676735540872</v>
      </c>
      <c r="E26" s="19"/>
      <c r="F26" s="21">
        <f>E25*$B$7</f>
        <v>144.13676735540872</v>
      </c>
      <c r="G26" s="19"/>
      <c r="H26" s="21">
        <f>G25*$B$7</f>
        <v>144.13676735540869</v>
      </c>
      <c r="I26" s="19"/>
      <c r="J26" s="21">
        <f>I25*$B$7</f>
        <v>144.13676735540869</v>
      </c>
      <c r="K26" s="19"/>
      <c r="L26" s="21">
        <f>K25*$B$7</f>
        <v>144.13676735540867</v>
      </c>
      <c r="M26" s="22"/>
      <c r="N26" s="22"/>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row>
    <row r="27" spans="1:40" ht="19" customHeight="1" x14ac:dyDescent="0.2">
      <c r="A27" s="19"/>
      <c r="B27" s="19"/>
      <c r="C27" s="21">
        <f>B26*$B$7</f>
        <v>143.43694907254363</v>
      </c>
      <c r="D27" s="19"/>
      <c r="E27" s="21">
        <f>D26*$B$7</f>
        <v>143.43694907254363</v>
      </c>
      <c r="F27" s="19"/>
      <c r="G27" s="21">
        <f>F26*$B$7</f>
        <v>143.43694907254363</v>
      </c>
      <c r="H27" s="19"/>
      <c r="I27" s="21">
        <f>H26*$B$7</f>
        <v>143.4369490725436</v>
      </c>
      <c r="J27" s="19"/>
      <c r="K27" s="21">
        <f>J26*$B$7</f>
        <v>143.4369490725436</v>
      </c>
      <c r="L27" s="19"/>
      <c r="M27" s="20">
        <f>L26*$B$7</f>
        <v>143.43694907254357</v>
      </c>
      <c r="N27" s="20">
        <f>M27*(1-dividend_rate)</f>
        <v>142.57632737810832</v>
      </c>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row>
    <row r="28" spans="1:40" ht="19" customHeight="1" x14ac:dyDescent="0.2">
      <c r="A28" s="19"/>
      <c r="B28" s="19"/>
      <c r="C28" s="19"/>
      <c r="D28" s="21">
        <f>C27*$B$7</f>
        <v>142.74052857386656</v>
      </c>
      <c r="E28" s="19"/>
      <c r="F28" s="21">
        <f>E27*$B$7</f>
        <v>142.74052857386656</v>
      </c>
      <c r="G28" s="19"/>
      <c r="H28" s="21">
        <f>G27*$B$7</f>
        <v>142.74052857386656</v>
      </c>
      <c r="I28" s="19"/>
      <c r="J28" s="21">
        <f>I27*$B$7</f>
        <v>142.74052857386653</v>
      </c>
      <c r="K28" s="19"/>
      <c r="L28" s="21">
        <f>K27*$B$7</f>
        <v>142.74052857386653</v>
      </c>
      <c r="M28" s="22"/>
      <c r="N28" s="22"/>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row>
    <row r="29" spans="1:40" ht="19" customHeight="1" x14ac:dyDescent="0.2">
      <c r="A29" s="19"/>
      <c r="B29" s="19"/>
      <c r="C29" s="19"/>
      <c r="D29" s="19"/>
      <c r="E29" s="21">
        <f>D28*$B$7</f>
        <v>142.04748936232724</v>
      </c>
      <c r="F29" s="19"/>
      <c r="G29" s="21">
        <f>F28*$B$7</f>
        <v>142.04748936232724</v>
      </c>
      <c r="H29" s="19"/>
      <c r="I29" s="21">
        <f>H28*$B$7</f>
        <v>142.04748936232724</v>
      </c>
      <c r="J29" s="19"/>
      <c r="K29" s="21">
        <f>J28*$B$7</f>
        <v>142.04748936232721</v>
      </c>
      <c r="L29" s="19"/>
      <c r="M29" s="20">
        <f>L28*$B$7</f>
        <v>142.04748936232721</v>
      </c>
      <c r="N29" s="20">
        <f>M29*(1-dividend_rate)</f>
        <v>141.19520442615325</v>
      </c>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row>
    <row r="30" spans="1:40" ht="19" customHeight="1" x14ac:dyDescent="0.2">
      <c r="A30" s="19"/>
      <c r="B30" s="19"/>
      <c r="C30" s="19"/>
      <c r="D30" s="19"/>
      <c r="E30" s="19"/>
      <c r="F30" s="21">
        <f>E29*$B$7</f>
        <v>141.35781502097251</v>
      </c>
      <c r="G30" s="19"/>
      <c r="H30" s="21">
        <f>G29*$B$7</f>
        <v>141.35781502097251</v>
      </c>
      <c r="I30" s="19"/>
      <c r="J30" s="21">
        <f>I29*$B$7</f>
        <v>141.35781502097251</v>
      </c>
      <c r="K30" s="19"/>
      <c r="L30" s="21">
        <f>K29*$B$7</f>
        <v>141.35781502097248</v>
      </c>
      <c r="M30" s="22"/>
      <c r="N30" s="22"/>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row>
    <row r="31" spans="1:40" ht="19" customHeight="1" x14ac:dyDescent="0.2">
      <c r="A31" s="19"/>
      <c r="B31" s="19"/>
      <c r="C31" s="19"/>
      <c r="D31" s="19"/>
      <c r="E31" s="19"/>
      <c r="F31" s="19"/>
      <c r="G31" s="21">
        <f>F30*$B$7</f>
        <v>140.67148921255742</v>
      </c>
      <c r="H31" s="19"/>
      <c r="I31" s="21">
        <f>H30*$B$7</f>
        <v>140.67148921255742</v>
      </c>
      <c r="J31" s="19"/>
      <c r="K31" s="21">
        <f>J30*$B$7</f>
        <v>140.67148921255742</v>
      </c>
      <c r="L31" s="19"/>
      <c r="M31" s="20">
        <f>L30*$B$7</f>
        <v>140.67148921255739</v>
      </c>
      <c r="N31" s="20">
        <f>M31*(1-dividend_rate)</f>
        <v>139.82746027728206</v>
      </c>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row>
    <row r="32" spans="1:40" ht="19" customHeight="1" x14ac:dyDescent="0.2">
      <c r="A32" s="19"/>
      <c r="B32" s="19"/>
      <c r="C32" s="19"/>
      <c r="D32" s="19"/>
      <c r="E32" s="19"/>
      <c r="F32" s="19"/>
      <c r="G32" s="19"/>
      <c r="H32" s="21">
        <f>G31*$B$7</f>
        <v>139.98849567915823</v>
      </c>
      <c r="I32" s="19"/>
      <c r="J32" s="21">
        <f>I31*$B$7</f>
        <v>139.98849567915823</v>
      </c>
      <c r="K32" s="19"/>
      <c r="L32" s="21">
        <f>K31*$B$7</f>
        <v>139.98849567915823</v>
      </c>
      <c r="M32" s="22"/>
      <c r="N32" s="22"/>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row>
    <row r="33" spans="1:40" ht="19" customHeight="1" x14ac:dyDescent="0.2">
      <c r="A33" s="19"/>
      <c r="B33" s="19"/>
      <c r="C33" s="19"/>
      <c r="D33" s="19"/>
      <c r="E33" s="19"/>
      <c r="F33" s="19"/>
      <c r="G33" s="19"/>
      <c r="H33" s="19"/>
      <c r="I33" s="21">
        <f>H32*$B$7</f>
        <v>139.30881824178729</v>
      </c>
      <c r="J33" s="19"/>
      <c r="K33" s="21">
        <f>J32*$B$7</f>
        <v>139.30881824178729</v>
      </c>
      <c r="L33" s="19"/>
      <c r="M33" s="20">
        <f>L32*$B$7</f>
        <v>139.30881824178729</v>
      </c>
      <c r="N33" s="20">
        <f>M33*(1-dividend_rate)</f>
        <v>138.47296533233657</v>
      </c>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row>
    <row r="34" spans="1:40" ht="19" customHeight="1" x14ac:dyDescent="0.2">
      <c r="A34" s="19"/>
      <c r="B34" s="19"/>
      <c r="C34" s="19"/>
      <c r="D34" s="19"/>
      <c r="E34" s="19"/>
      <c r="F34" s="19"/>
      <c r="G34" s="19"/>
      <c r="H34" s="19"/>
      <c r="I34" s="19"/>
      <c r="J34" s="21">
        <f>I33*$B$7</f>
        <v>138.63244080000976</v>
      </c>
      <c r="K34" s="19"/>
      <c r="L34" s="21">
        <f>K33*$B$7</f>
        <v>138.63244080000976</v>
      </c>
      <c r="M34" s="22"/>
      <c r="N34" s="22"/>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row>
    <row r="35" spans="1:40" ht="19" customHeight="1" x14ac:dyDescent="0.2">
      <c r="A35" s="19"/>
      <c r="B35" s="19"/>
      <c r="C35" s="19"/>
      <c r="D35" s="19"/>
      <c r="E35" s="19"/>
      <c r="F35" s="19"/>
      <c r="G35" s="19"/>
      <c r="H35" s="19"/>
      <c r="I35" s="19"/>
      <c r="J35" s="19"/>
      <c r="K35" s="21">
        <f>J34*$B$7</f>
        <v>137.95934733156227</v>
      </c>
      <c r="L35" s="19"/>
      <c r="M35" s="20">
        <f>L34*$B$7</f>
        <v>137.95934733156227</v>
      </c>
      <c r="N35" s="20">
        <f>M35*(1-dividend_rate)</f>
        <v>137.13159124757289</v>
      </c>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row>
    <row r="36" spans="1:40" ht="19" customHeight="1" x14ac:dyDescent="0.2">
      <c r="A36" s="19"/>
      <c r="B36" s="19"/>
      <c r="C36" s="19"/>
      <c r="D36" s="19"/>
      <c r="E36" s="19"/>
      <c r="F36" s="19"/>
      <c r="G36" s="19"/>
      <c r="H36" s="19"/>
      <c r="I36" s="19"/>
      <c r="J36" s="19"/>
      <c r="K36" s="19"/>
      <c r="L36" s="21">
        <f>K35*$B$7</f>
        <v>137.28952189197335</v>
      </c>
      <c r="M36" s="22"/>
      <c r="N36" s="22"/>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row>
    <row r="37" spans="1:40" ht="19" customHeight="1" x14ac:dyDescent="0.2">
      <c r="A37" s="19"/>
      <c r="B37" s="19"/>
      <c r="C37" s="19"/>
      <c r="D37" s="19"/>
      <c r="E37" s="19"/>
      <c r="F37" s="19"/>
      <c r="G37" s="19"/>
      <c r="H37" s="19"/>
      <c r="I37" s="19"/>
      <c r="J37" s="19"/>
      <c r="K37" s="19"/>
      <c r="L37" s="19"/>
      <c r="M37" s="20">
        <f>L36*$B$7</f>
        <v>136.6229486141857</v>
      </c>
      <c r="N37" s="20">
        <f>M37*(1-dividend_rate)</f>
        <v>135.8032109225006</v>
      </c>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row>
    <row r="38" spans="1:40" ht="19" customHeight="1" x14ac:dyDescent="0.15">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row>
    <row r="39" spans="1:40" ht="19" customHeight="1" x14ac:dyDescent="0.2">
      <c r="A39" s="10"/>
      <c r="B39" s="18">
        <v>0</v>
      </c>
      <c r="C39" s="18">
        <v>1</v>
      </c>
      <c r="D39" s="18">
        <v>2</v>
      </c>
      <c r="E39" s="18">
        <v>3</v>
      </c>
      <c r="F39" s="18">
        <v>4</v>
      </c>
      <c r="G39" s="18">
        <v>5</v>
      </c>
      <c r="H39" s="18">
        <v>6</v>
      </c>
      <c r="I39" s="18">
        <v>7</v>
      </c>
      <c r="J39" s="18">
        <v>8</v>
      </c>
      <c r="K39" s="18">
        <v>9</v>
      </c>
      <c r="L39" s="18">
        <v>10</v>
      </c>
      <c r="M39" s="18">
        <v>11</v>
      </c>
      <c r="N39" s="18">
        <v>12</v>
      </c>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row>
    <row r="40" spans="1:40" ht="26" customHeight="1" x14ac:dyDescent="0.3">
      <c r="A40" s="10"/>
      <c r="B40" s="5" t="s">
        <v>32</v>
      </c>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row>
    <row r="41" spans="1:40" ht="19" customHeight="1" x14ac:dyDescent="0.15">
      <c r="A41" s="10"/>
      <c r="B41" s="19"/>
      <c r="C41" s="19"/>
      <c r="D41" s="19"/>
      <c r="E41" s="19"/>
      <c r="F41" s="19"/>
      <c r="G41" s="19"/>
      <c r="H41" s="19"/>
      <c r="I41" s="19"/>
      <c r="J41" s="19"/>
      <c r="K41" s="19"/>
      <c r="L41" s="19"/>
      <c r="M41" s="19"/>
      <c r="N41" s="21">
        <f>IF(N13&gt;Exercise,N13-Exercise,0)</f>
        <v>2.6299502237123704</v>
      </c>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row>
    <row r="42" spans="1:40" ht="19" customHeight="1" x14ac:dyDescent="0.15">
      <c r="A42" s="10"/>
      <c r="B42" s="19"/>
      <c r="C42" s="19"/>
      <c r="D42" s="19"/>
      <c r="E42" s="19"/>
      <c r="F42" s="19"/>
      <c r="G42" s="19"/>
      <c r="H42" s="19"/>
      <c r="I42" s="19"/>
      <c r="J42" s="19"/>
      <c r="K42" s="19"/>
      <c r="L42" s="19"/>
      <c r="M42" s="21">
        <f>((N41*$E$7)/(1+$E$6))+((N43*(1-$E$7))/(1+$E$6))</f>
        <v>2.0887842895609072</v>
      </c>
      <c r="N42" s="19"/>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row>
    <row r="43" spans="1:40" ht="19" customHeight="1" x14ac:dyDescent="0.15">
      <c r="A43" s="10"/>
      <c r="B43" s="19"/>
      <c r="C43" s="19"/>
      <c r="D43" s="19"/>
      <c r="E43" s="19"/>
      <c r="F43" s="19"/>
      <c r="G43" s="19"/>
      <c r="H43" s="19"/>
      <c r="I43" s="19"/>
      <c r="J43" s="19"/>
      <c r="K43" s="19"/>
      <c r="L43" s="21">
        <f>((M42*$E$7)/(1+$E$6))+((M44*(1-$E$7))/(1+$E$6))</f>
        <v>1.5923016331457767</v>
      </c>
      <c r="M43" s="19"/>
      <c r="N43" s="21">
        <f>IF(N15&gt;Exercise,N15-Exercise,0)</f>
        <v>1.1514388096071855</v>
      </c>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row>
    <row r="44" spans="1:40" ht="19" customHeight="1" x14ac:dyDescent="0.15">
      <c r="A44" s="10"/>
      <c r="B44" s="19"/>
      <c r="C44" s="19"/>
      <c r="D44" s="19"/>
      <c r="E44" s="19"/>
      <c r="F44" s="19"/>
      <c r="G44" s="19"/>
      <c r="H44" s="19"/>
      <c r="I44" s="19"/>
      <c r="J44" s="19"/>
      <c r="K44" s="21">
        <f>((L43*$E$7)/(1+$E$6))+((L45*(1-$E$7))/(1+$E$6))</f>
        <v>1.179977641899955</v>
      </c>
      <c r="L44" s="19"/>
      <c r="M44" s="21">
        <f>((N43*$E$7)/(1+$E$6))+((N45*(1-$E$7))/(1+$E$6))</f>
        <v>0.73117363141534797</v>
      </c>
      <c r="N44" s="19"/>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row>
    <row r="45" spans="1:40" ht="19" customHeight="1" x14ac:dyDescent="0.15">
      <c r="A45" s="10"/>
      <c r="B45" s="19"/>
      <c r="C45" s="19"/>
      <c r="D45" s="19"/>
      <c r="E45" s="19"/>
      <c r="F45" s="19"/>
      <c r="G45" s="19"/>
      <c r="H45" s="19"/>
      <c r="I45" s="19"/>
      <c r="J45" s="21">
        <f>((K44*$E$7)/(1+$E$6))+((K46*(1-$E$7))/(1+$E$6))</f>
        <v>0.85651870847926848</v>
      </c>
      <c r="K45" s="19"/>
      <c r="L45" s="21">
        <f>((M44*$E$7)/(1+$E$6))+((M46*(1-$E$7))/(1+$E$6))</f>
        <v>0.46430159798026222</v>
      </c>
      <c r="M45" s="19"/>
      <c r="N45" s="21">
        <f>IF(N17&gt;Exercise,N17-Exercise,0)</f>
        <v>0</v>
      </c>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row>
    <row r="46" spans="1:40" ht="19" customHeight="1" x14ac:dyDescent="0.15">
      <c r="A46" s="10"/>
      <c r="B46" s="19"/>
      <c r="C46" s="19"/>
      <c r="D46" s="19"/>
      <c r="E46" s="19"/>
      <c r="F46" s="19"/>
      <c r="G46" s="19"/>
      <c r="H46" s="19"/>
      <c r="I46" s="21">
        <f>((J45*$E$7)/(1+$E$6))+((J47*(1-$E$7))/(1+$E$6))</f>
        <v>0.61198413525179551</v>
      </c>
      <c r="J46" s="19"/>
      <c r="K46" s="21">
        <f>((L45*$E$7)/(1+$E$6))+((L47*(1-$E$7))/(1+$E$6))</f>
        <v>0.29483554196248862</v>
      </c>
      <c r="L46" s="19"/>
      <c r="M46" s="21">
        <f>((N45*$E$7)/(1+$E$6))+((N47*(1-$E$7))/(1+$E$6))</f>
        <v>0</v>
      </c>
      <c r="N46" s="19"/>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row>
    <row r="47" spans="1:40" ht="19" customHeight="1" x14ac:dyDescent="0.15">
      <c r="A47" s="10"/>
      <c r="B47" s="19"/>
      <c r="C47" s="19"/>
      <c r="D47" s="19"/>
      <c r="E47" s="19"/>
      <c r="F47" s="19"/>
      <c r="G47" s="19"/>
      <c r="H47" s="21">
        <f>((I46*$E$7)/(1+$E$6))+((I48*(1-$E$7))/(1+$E$6))</f>
        <v>0.43185127675520713</v>
      </c>
      <c r="I47" s="19"/>
      <c r="J47" s="21">
        <f>((K46*$E$7)/(1+$E$6))+((K48*(1-$E$7))/(1+$E$6))</f>
        <v>0.18722312648170075</v>
      </c>
      <c r="K47" s="19"/>
      <c r="L47" s="21">
        <f>((M46*$E$7)/(1+$E$6))+((M48*(1-$E$7))/(1+$E$6))</f>
        <v>0</v>
      </c>
      <c r="M47" s="19"/>
      <c r="N47" s="21">
        <f>IF(N19&gt;Exercise,N19-Exercise,0)</f>
        <v>0</v>
      </c>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row>
    <row r="48" spans="1:40" ht="19" customHeight="1" x14ac:dyDescent="0.15">
      <c r="A48" s="10"/>
      <c r="B48" s="19"/>
      <c r="C48" s="19"/>
      <c r="D48" s="19"/>
      <c r="E48" s="19"/>
      <c r="F48" s="19"/>
      <c r="G48" s="21">
        <f>((H47*$E$7)/(1+$E$6))+((H49*(1-$E$7))/(1+$E$6))</f>
        <v>0.30168456862718307</v>
      </c>
      <c r="H48" s="19"/>
      <c r="I48" s="21">
        <f>((J47*$E$7)/(1+$E$6))+((J49*(1-$E$7))/(1+$E$6))</f>
        <v>0.11888830924611721</v>
      </c>
      <c r="J48" s="19"/>
      <c r="K48" s="21">
        <f>((L47*$E$7)/(1+$E$6))+((L49*(1-$E$7))/(1+$E$6))</f>
        <v>0</v>
      </c>
      <c r="L48" s="19"/>
      <c r="M48" s="21">
        <f>((N47*$E$7)/(1+$E$6))+((N49*(1-$E$7))/(1+$E$6))</f>
        <v>0</v>
      </c>
      <c r="N48" s="19"/>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row>
    <row r="49" spans="1:40" ht="19" customHeight="1" x14ac:dyDescent="0.15">
      <c r="A49" s="10"/>
      <c r="B49" s="19"/>
      <c r="C49" s="19"/>
      <c r="D49" s="19"/>
      <c r="E49" s="19"/>
      <c r="F49" s="21">
        <f>((G48*$E$7)/(1+$E$6))+((G50*(1-$E$7))/(1+$E$6))</f>
        <v>0.20900664740062225</v>
      </c>
      <c r="G49" s="19"/>
      <c r="H49" s="21">
        <f>((I48*$E$7)/(1+$E$6))+((I50*(1-$E$7))/(1+$E$6))</f>
        <v>7.5495107581070656E-2</v>
      </c>
      <c r="I49" s="19"/>
      <c r="J49" s="21">
        <f>((K48*$E$7)/(1+$E$6))+((K50*(1-$E$7))/(1+$E$6))</f>
        <v>0</v>
      </c>
      <c r="K49" s="19"/>
      <c r="L49" s="21">
        <f>((M48*$E$7)/(1+$E$6))+((M50*(1-$E$7))/(1+$E$6))</f>
        <v>0</v>
      </c>
      <c r="M49" s="19"/>
      <c r="N49" s="21">
        <f>IF(N21&gt;Exercise,N21-Exercise,0)</f>
        <v>0</v>
      </c>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row>
    <row r="50" spans="1:40" ht="19" customHeight="1" x14ac:dyDescent="0.15">
      <c r="A50" s="10"/>
      <c r="B50" s="19"/>
      <c r="C50" s="19"/>
      <c r="D50" s="19"/>
      <c r="E50" s="21">
        <f>((F49*$E$7)/(1+$E$6))+((F51*(1-$E$7))/(1+$E$6))</f>
        <v>0.14379198447950242</v>
      </c>
      <c r="F50" s="19"/>
      <c r="G50" s="21">
        <f>((H49*$E$7)/(1+$E$6))+((H51*(1-$E$7))/(1+$E$6))</f>
        <v>4.79400481411386E-2</v>
      </c>
      <c r="H50" s="19"/>
      <c r="I50" s="21">
        <f>((J49*$E$7)/(1+$E$6))+((J51*(1-$E$7))/(1+$E$6))</f>
        <v>0</v>
      </c>
      <c r="J50" s="19"/>
      <c r="K50" s="21">
        <f>((L49*$E$7)/(1+$E$6))+((L51*(1-$E$7))/(1+$E$6))</f>
        <v>0</v>
      </c>
      <c r="L50" s="19"/>
      <c r="M50" s="21">
        <f>((N49*$E$7)/(1+$E$6))+((N51*(1-$E$7))/(1+$E$6))</f>
        <v>0</v>
      </c>
      <c r="N50" s="19"/>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row>
    <row r="51" spans="1:40" ht="19" customHeight="1" x14ac:dyDescent="0.15">
      <c r="A51" s="10"/>
      <c r="B51" s="19"/>
      <c r="C51" s="19"/>
      <c r="D51" s="21">
        <f>((E50*$E$7)/(1+$E$6))+((E52*(1-$E$7))/(1+$E$6))</f>
        <v>9.8339306960321463E-2</v>
      </c>
      <c r="E51" s="19"/>
      <c r="F51" s="21">
        <f>((G50*$E$7)/(1+$E$6))+((G52*(1-$E$7))/(1+$E$6))</f>
        <v>3.0442346390548627E-2</v>
      </c>
      <c r="G51" s="19"/>
      <c r="H51" s="21">
        <f>((I50*$E$7)/(1+$E$6))+((I52*(1-$E$7))/(1+$E$6))</f>
        <v>0</v>
      </c>
      <c r="I51" s="19"/>
      <c r="J51" s="21">
        <f>((K50*$E$7)/(1+$E$6))+((K52*(1-$E$7))/(1+$E$6))</f>
        <v>0</v>
      </c>
      <c r="K51" s="19"/>
      <c r="L51" s="21">
        <f>((M50*$E$7)/(1+$E$6))+((M52*(1-$E$7))/(1+$E$6))</f>
        <v>0</v>
      </c>
      <c r="M51" s="19"/>
      <c r="N51" s="21">
        <f>IF(N23&gt;Exercise,N23-Exercise,0)</f>
        <v>0</v>
      </c>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row>
    <row r="52" spans="1:40" ht="19" customHeight="1" x14ac:dyDescent="0.15">
      <c r="A52" s="24" t="s">
        <v>33</v>
      </c>
      <c r="B52" s="24"/>
      <c r="C52" s="21">
        <f>((D51*$E$7)/(1+$E$6))+((D53*(1-$E$7))/(1+$E$6))</f>
        <v>6.6910518864472773E-2</v>
      </c>
      <c r="D52" s="19"/>
      <c r="E52" s="21">
        <f>((F51*$E$7)/(1+$E$6))+((F53*(1-$E$7))/(1+$E$6))</f>
        <v>1.933115400789288E-2</v>
      </c>
      <c r="F52" s="19"/>
      <c r="G52" s="21">
        <f>((H51*$E$7)/(1+$E$6))+((H53*(1-$E$7))/(1+$E$6))</f>
        <v>0</v>
      </c>
      <c r="H52" s="19"/>
      <c r="I52" s="21">
        <f>((J51*$E$7)/(1+$E$6))+((J53*(1-$E$7))/(1+$E$6))</f>
        <v>0</v>
      </c>
      <c r="J52" s="19"/>
      <c r="K52" s="21">
        <f>((L51*$E$7)/(1+$E$6))+((L53*(1-$E$7))/(1+$E$6))</f>
        <v>0</v>
      </c>
      <c r="L52" s="19"/>
      <c r="M52" s="21">
        <f>((N51*$E$7)/(1+$E$6))+((N53*(1-$E$7))/(1+$E$6))</f>
        <v>0</v>
      </c>
      <c r="N52" s="19"/>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row>
    <row r="53" spans="1:40" ht="19" customHeight="1" x14ac:dyDescent="0.15">
      <c r="A53" s="10"/>
      <c r="B53" s="25">
        <f>((C52*$E$7)/(1+$E$6))+((C54*(1-$E$7))/(1+$E$6))</f>
        <v>4.5323569359190158E-2</v>
      </c>
      <c r="C53" s="19"/>
      <c r="D53" s="21">
        <f>((E52*$E$7)/(1+$E$6))+((E54*(1-$E$7))/(1+$E$6))</f>
        <v>1.2275450468985295E-2</v>
      </c>
      <c r="E53" s="19"/>
      <c r="F53" s="21">
        <f>((G52*$E$7)/(1+$E$6))+((G54*(1-$E$7))/(1+$E$6))</f>
        <v>0</v>
      </c>
      <c r="G53" s="19"/>
      <c r="H53" s="21">
        <f>((I52*$E$7)/(1+$E$6))+((I54*(1-$E$7))/(1+$E$6))</f>
        <v>0</v>
      </c>
      <c r="I53" s="19"/>
      <c r="J53" s="21">
        <f>((K52*$E$7)/(1+$E$6))+((K54*(1-$E$7))/(1+$E$6))</f>
        <v>0</v>
      </c>
      <c r="K53" s="19"/>
      <c r="L53" s="21">
        <f>((M52*$E$7)/(1+$E$6))+((M54*(1-$E$7))/(1+$E$6))</f>
        <v>0</v>
      </c>
      <c r="M53" s="19"/>
      <c r="N53" s="21">
        <f>IF(N25&gt;Exercise,N25-Exercise,0)</f>
        <v>0</v>
      </c>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row>
    <row r="54" spans="1:40" ht="19" customHeight="1" x14ac:dyDescent="0.15">
      <c r="A54" s="10"/>
      <c r="B54" s="19"/>
      <c r="C54" s="21">
        <f>((D53*$E$7)/(1+$E$6))+((D55*(1-$E$7))/(1+$E$6))</f>
        <v>7.7950175222330836E-3</v>
      </c>
      <c r="D54" s="19"/>
      <c r="E54" s="21">
        <f>((F53*$E$7)/(1+$E$6))+((F55*(1-$E$7))/(1+$E$6))</f>
        <v>0</v>
      </c>
      <c r="F54" s="19"/>
      <c r="G54" s="21">
        <f>((H53*$E$7)/(1+$E$6))+((H55*(1-$E$7))/(1+$E$6))</f>
        <v>0</v>
      </c>
      <c r="H54" s="19"/>
      <c r="I54" s="21">
        <f>((J53*$E$7)/(1+$E$6))+((J55*(1-$E$7))/(1+$E$6))</f>
        <v>0</v>
      </c>
      <c r="J54" s="19"/>
      <c r="K54" s="21">
        <f>((L53*$E$7)/(1+$E$6))+((L55*(1-$E$7))/(1+$E$6))</f>
        <v>0</v>
      </c>
      <c r="L54" s="19"/>
      <c r="M54" s="21">
        <f>((N53*$E$7)/(1+$E$6))+((N55*(1-$E$7))/(1+$E$6))</f>
        <v>0</v>
      </c>
      <c r="N54" s="19"/>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row>
    <row r="55" spans="1:40" ht="19" customHeight="1" x14ac:dyDescent="0.15">
      <c r="A55" s="10"/>
      <c r="B55" s="19"/>
      <c r="C55" s="19"/>
      <c r="D55" s="21">
        <f>((E54*$E$7)/(1+$E$6))+((E56*(1-$E$7))/(1+$E$6))</f>
        <v>0</v>
      </c>
      <c r="E55" s="19"/>
      <c r="F55" s="21">
        <f>((G54*$E$7)/(1+$E$6))+((G56*(1-$E$7))/(1+$E$6))</f>
        <v>0</v>
      </c>
      <c r="G55" s="19"/>
      <c r="H55" s="21">
        <f>((I54*$E$7)/(1+$E$6))+((I56*(1-$E$7))/(1+$E$6))</f>
        <v>0</v>
      </c>
      <c r="I55" s="19"/>
      <c r="J55" s="21">
        <f>((K54*$E$7)/(1+$E$6))+((K56*(1-$E$7))/(1+$E$6))</f>
        <v>0</v>
      </c>
      <c r="K55" s="19"/>
      <c r="L55" s="21">
        <f>((M54*$E$7)/(1+$E$6))+((M56*(1-$E$7))/(1+$E$6))</f>
        <v>0</v>
      </c>
      <c r="M55" s="19"/>
      <c r="N55" s="21">
        <f>IF(N27&gt;Exercise,N27-Exercise,0)</f>
        <v>0</v>
      </c>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row>
    <row r="56" spans="1:40" ht="19" customHeight="1" x14ac:dyDescent="0.15">
      <c r="A56" s="10"/>
      <c r="B56" s="19"/>
      <c r="C56" s="19"/>
      <c r="D56" s="19"/>
      <c r="E56" s="21">
        <f>((F55*$E$7)/(1+$E$6))+((F57*(1-$E$7))/(1+$E$6))</f>
        <v>0</v>
      </c>
      <c r="F56" s="19"/>
      <c r="G56" s="21">
        <f>((H55*$E$7)/(1+$E$6))+((H57*(1-$E$7))/(1+$E$6))</f>
        <v>0</v>
      </c>
      <c r="H56" s="19"/>
      <c r="I56" s="21">
        <f>((J55*$E$7)/(1+$E$6))+((J57*(1-$E$7))/(1+$E$6))</f>
        <v>0</v>
      </c>
      <c r="J56" s="19"/>
      <c r="K56" s="21">
        <f>((L55*$E$7)/(1+$E$6))+((L57*(1-$E$7))/(1+$E$6))</f>
        <v>0</v>
      </c>
      <c r="L56" s="19"/>
      <c r="M56" s="21">
        <f>((N55*$E$7)/(1+$E$6))+((N57*(1-$E$7))/(1+$E$6))</f>
        <v>0</v>
      </c>
      <c r="N56" s="21"/>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row>
    <row r="57" spans="1:40" ht="19" customHeight="1" x14ac:dyDescent="0.15">
      <c r="A57" s="10"/>
      <c r="B57" s="19"/>
      <c r="C57" s="19"/>
      <c r="D57" s="19"/>
      <c r="E57" s="19"/>
      <c r="F57" s="21">
        <f>((G56*$E$7)/(1+$E$6))+((G58*(1-$E$7))/(1+$E$6))</f>
        <v>0</v>
      </c>
      <c r="G57" s="19"/>
      <c r="H57" s="21">
        <f>((I56*$E$7)/(1+$E$6))+((I58*(1-$E$7))/(1+$E$6))</f>
        <v>0</v>
      </c>
      <c r="I57" s="19"/>
      <c r="J57" s="21">
        <f>((K56*$E$7)/(1+$E$6))+((K58*(1-$E$7))/(1+$E$6))</f>
        <v>0</v>
      </c>
      <c r="K57" s="19"/>
      <c r="L57" s="21">
        <f>((M56*$E$7)/(1+$E$6))+((M58*(1-$E$7))/(1+$E$6))</f>
        <v>0</v>
      </c>
      <c r="M57" s="19"/>
      <c r="N57" s="21">
        <f>IF(N29&gt;Exercise,N29-Exercise,0)</f>
        <v>0</v>
      </c>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row>
    <row r="58" spans="1:40" ht="19" customHeight="1" x14ac:dyDescent="0.15">
      <c r="A58" s="10"/>
      <c r="B58" s="19"/>
      <c r="C58" s="19"/>
      <c r="D58" s="19"/>
      <c r="E58" s="19"/>
      <c r="F58" s="19"/>
      <c r="G58" s="21">
        <f>((H57*$E$7)/(1+$E$6))+((H59*(1-$E$7))/(1+$E$6))</f>
        <v>0</v>
      </c>
      <c r="H58" s="19"/>
      <c r="I58" s="21">
        <f>((J57*$E$7)/(1+$E$6))+((J59*(1-$E$7))/(1+$E$6))</f>
        <v>0</v>
      </c>
      <c r="J58" s="19"/>
      <c r="K58" s="21">
        <f>((L57*$E$7)/(1+$E$6))+((L59*(1-$E$7))/(1+$E$6))</f>
        <v>0</v>
      </c>
      <c r="L58" s="19"/>
      <c r="M58" s="21">
        <f>((N57*$E$7)/(1+$E$6))+((N59*(1-$E$7))/(1+$E$6))</f>
        <v>0</v>
      </c>
      <c r="N58" s="19"/>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row>
    <row r="59" spans="1:40" ht="19" customHeight="1" x14ac:dyDescent="0.15">
      <c r="A59" s="10"/>
      <c r="B59" s="19"/>
      <c r="C59" s="19"/>
      <c r="D59" s="19"/>
      <c r="E59" s="19"/>
      <c r="F59" s="19"/>
      <c r="G59" s="19"/>
      <c r="H59" s="21">
        <f>((I58*$E$7)/(1+$E$6))+((I60*(1-$E$7))/(1+$E$6))</f>
        <v>0</v>
      </c>
      <c r="I59" s="19"/>
      <c r="J59" s="21">
        <f>((K58*$E$7)/(1+$E$6))+((K60*(1-$E$7))/(1+$E$6))</f>
        <v>0</v>
      </c>
      <c r="K59" s="19"/>
      <c r="L59" s="21">
        <f>((M58*$E$7)/(1+$E$6))+((M60*(1-$E$7))/(1+$E$6))</f>
        <v>0</v>
      </c>
      <c r="M59" s="19"/>
      <c r="N59" s="21">
        <f>IF(N31&gt;Exercise,N31-Exercise,0)</f>
        <v>0</v>
      </c>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row>
    <row r="60" spans="1:40" ht="19" customHeight="1" x14ac:dyDescent="0.15">
      <c r="A60" s="10"/>
      <c r="B60" s="19"/>
      <c r="C60" s="19"/>
      <c r="D60" s="19"/>
      <c r="E60" s="19"/>
      <c r="F60" s="19"/>
      <c r="G60" s="19"/>
      <c r="H60" s="19"/>
      <c r="I60" s="21">
        <f>((J59*$E$7)/(1+$E$6))+((J61*(1-$E$7))/(1+$E$6))</f>
        <v>0</v>
      </c>
      <c r="J60" s="19"/>
      <c r="K60" s="21">
        <f>((L59*$E$7)/(1+$E$6))+((L61*(1-$E$7))/(1+$E$6))</f>
        <v>0</v>
      </c>
      <c r="L60" s="19"/>
      <c r="M60" s="21">
        <f>((N59*$E$7)/(1+$E$6))+((N61*(1-$E$7))/(1+$E$6))</f>
        <v>0</v>
      </c>
      <c r="N60" s="19"/>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row>
    <row r="61" spans="1:40" ht="19" customHeight="1" x14ac:dyDescent="0.15">
      <c r="A61" s="10"/>
      <c r="B61" s="19"/>
      <c r="C61" s="19"/>
      <c r="D61" s="19"/>
      <c r="E61" s="19"/>
      <c r="F61" s="19"/>
      <c r="G61" s="19"/>
      <c r="H61" s="19"/>
      <c r="I61" s="19"/>
      <c r="J61" s="21">
        <f>((K60*$E$7)/(1+$E$6))+((K62*(1-$E$7))/(1+$E$6))</f>
        <v>0</v>
      </c>
      <c r="K61" s="19"/>
      <c r="L61" s="21">
        <f>((M60*$E$7)/(1+$E$6))+((M62*(1-$E$7))/(1+$E$6))</f>
        <v>0</v>
      </c>
      <c r="M61" s="21"/>
      <c r="N61" s="21">
        <f>IF(N33&gt;Exercise,N33-Exercise,0)</f>
        <v>0</v>
      </c>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row>
    <row r="62" spans="1:40" ht="19" customHeight="1" x14ac:dyDescent="0.15">
      <c r="A62" s="10"/>
      <c r="B62" s="19"/>
      <c r="C62" s="19"/>
      <c r="D62" s="19"/>
      <c r="E62" s="19"/>
      <c r="F62" s="19"/>
      <c r="G62" s="19"/>
      <c r="H62" s="19"/>
      <c r="I62" s="19"/>
      <c r="J62" s="19"/>
      <c r="K62" s="21">
        <f>((L61*$E$7)/(1+$E$6))+((L63*(1-$E$7))/(1+$E$6))</f>
        <v>0</v>
      </c>
      <c r="L62" s="19"/>
      <c r="M62" s="21">
        <f>((N61*$E$7)/(1+$E$6))+((N63*(1-$E$7))/(1+$E$6))</f>
        <v>0</v>
      </c>
      <c r="N62" s="19"/>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row>
    <row r="63" spans="1:40" ht="19" customHeight="1" x14ac:dyDescent="0.15">
      <c r="A63" s="10"/>
      <c r="B63" s="19"/>
      <c r="C63" s="19"/>
      <c r="D63" s="19"/>
      <c r="E63" s="19"/>
      <c r="F63" s="19"/>
      <c r="G63" s="19"/>
      <c r="H63" s="19"/>
      <c r="I63" s="19"/>
      <c r="J63" s="19"/>
      <c r="K63" s="19"/>
      <c r="L63" s="21">
        <f>((M62*$E$7)/(1+$E$6))+((M64*(1-$E$7))/(1+$E$6))</f>
        <v>0</v>
      </c>
      <c r="M63" s="19"/>
      <c r="N63" s="21">
        <f>IF(N35&gt;Exercise,N35-Exercise,0)</f>
        <v>0</v>
      </c>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row>
    <row r="64" spans="1:40" ht="19" customHeight="1" x14ac:dyDescent="0.15">
      <c r="A64" s="10"/>
      <c r="B64" s="19"/>
      <c r="C64" s="19"/>
      <c r="D64" s="19"/>
      <c r="E64" s="19"/>
      <c r="F64" s="19"/>
      <c r="G64" s="19"/>
      <c r="H64" s="19"/>
      <c r="I64" s="19"/>
      <c r="J64" s="19"/>
      <c r="K64" s="19"/>
      <c r="L64" s="19"/>
      <c r="M64" s="21">
        <f>((N63*$E$7)/(1+$E$6))+((N65*(1-$E$7))/(1+$E$6))</f>
        <v>0</v>
      </c>
      <c r="N64" s="19"/>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row>
    <row r="65" spans="1:40" ht="19" customHeight="1" x14ac:dyDescent="0.15">
      <c r="A65" s="10"/>
      <c r="B65" s="19"/>
      <c r="C65" s="19"/>
      <c r="D65" s="19"/>
      <c r="E65" s="19"/>
      <c r="F65" s="19"/>
      <c r="G65" s="19"/>
      <c r="H65" s="19"/>
      <c r="I65" s="19"/>
      <c r="J65" s="19"/>
      <c r="K65" s="19"/>
      <c r="L65" s="19"/>
      <c r="M65" s="19"/>
      <c r="N65" s="21">
        <f>IF(N37&gt;Exercise,N37-Exercise,0)</f>
        <v>0</v>
      </c>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row>
    <row r="66" spans="1:40" ht="19" customHeight="1" x14ac:dyDescent="0.15">
      <c r="A66" s="10"/>
      <c r="B66" s="19"/>
      <c r="C66" s="19"/>
      <c r="D66" s="19"/>
      <c r="E66" s="19"/>
      <c r="F66" s="19"/>
      <c r="G66" s="19"/>
      <c r="H66" s="19"/>
      <c r="I66" s="19"/>
      <c r="J66" s="19"/>
      <c r="K66" s="19"/>
      <c r="L66" s="19"/>
      <c r="M66" s="19"/>
      <c r="N66" s="19"/>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row>
    <row r="67" spans="1:40" ht="19" customHeight="1" x14ac:dyDescent="0.15">
      <c r="A67" s="10"/>
      <c r="B67" s="19"/>
      <c r="C67" s="19"/>
      <c r="D67" s="19"/>
      <c r="E67" s="19"/>
      <c r="F67" s="19"/>
      <c r="G67" s="19"/>
      <c r="H67" s="19"/>
      <c r="I67" s="19"/>
      <c r="J67" s="19"/>
      <c r="K67" s="19"/>
      <c r="L67" s="19"/>
      <c r="M67" s="19"/>
      <c r="N67" s="19"/>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row>
    <row r="68" spans="1:40" ht="19" customHeight="1" x14ac:dyDescent="0.15">
      <c r="A68" s="10"/>
      <c r="B68" s="19"/>
      <c r="C68" s="19"/>
      <c r="D68" s="19"/>
      <c r="E68" s="19"/>
      <c r="F68" s="19"/>
      <c r="G68" s="19"/>
      <c r="H68" s="19"/>
      <c r="I68" s="19"/>
      <c r="J68" s="19"/>
      <c r="K68" s="19"/>
      <c r="L68" s="19"/>
      <c r="M68" s="19"/>
      <c r="N68" s="21">
        <f>IF(N13&lt;Exercise,Exercise-N13,0)</f>
        <v>0</v>
      </c>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row>
    <row r="69" spans="1:40" ht="19" customHeight="1" x14ac:dyDescent="0.15">
      <c r="A69" s="10"/>
      <c r="B69" s="19"/>
      <c r="C69" s="19"/>
      <c r="D69" s="19"/>
      <c r="E69" s="19"/>
      <c r="F69" s="19"/>
      <c r="G69" s="19"/>
      <c r="H69" s="19"/>
      <c r="I69" s="19"/>
      <c r="J69" s="19"/>
      <c r="K69" s="19"/>
      <c r="L69" s="19"/>
      <c r="M69" s="21">
        <f>((N68*$E$7)/(1+$E$6))+((N70*(1-$E$7))/(1+$E$6))</f>
        <v>0</v>
      </c>
      <c r="N69" s="19"/>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row>
    <row r="70" spans="1:40" ht="19" customHeight="1" x14ac:dyDescent="0.15">
      <c r="A70" s="10"/>
      <c r="B70" s="19"/>
      <c r="C70" s="19"/>
      <c r="D70" s="19"/>
      <c r="E70" s="19"/>
      <c r="F70" s="19"/>
      <c r="G70" s="19"/>
      <c r="H70" s="19"/>
      <c r="I70" s="19"/>
      <c r="J70" s="19"/>
      <c r="K70" s="19"/>
      <c r="L70" s="21">
        <f>((M69*$E$7)/(1+$E$6))+((M71*(1-$E$7))/(1+$E$6))</f>
        <v>4.136294551032977E-2</v>
      </c>
      <c r="M70" s="19"/>
      <c r="N70" s="21">
        <f>IF(N15&lt;Exercise,Exercise-N15,0)</f>
        <v>0</v>
      </c>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row>
    <row r="71" spans="1:40" ht="19" customHeight="1" x14ac:dyDescent="0.15">
      <c r="A71" s="10"/>
      <c r="B71" s="19"/>
      <c r="C71" s="19"/>
      <c r="D71" s="19"/>
      <c r="E71" s="19"/>
      <c r="F71" s="19"/>
      <c r="G71" s="19"/>
      <c r="H71" s="19"/>
      <c r="I71" s="19"/>
      <c r="J71" s="19"/>
      <c r="K71" s="21">
        <f>((L70*$E$7)/(1+$E$6))+((L72*(1-$E$7))/(1+$E$6))</f>
        <v>0.16358123347873144</v>
      </c>
      <c r="L71" s="19"/>
      <c r="M71" s="21">
        <f>((N70*$E$7)/(1+$E$6))+((N72*(1-$E$7))/(1+$E$6))</f>
        <v>0.11373776031534667</v>
      </c>
      <c r="N71" s="19"/>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row>
    <row r="72" spans="1:40" ht="19" customHeight="1" x14ac:dyDescent="0.15">
      <c r="A72" s="10"/>
      <c r="B72" s="19"/>
      <c r="C72" s="19"/>
      <c r="D72" s="19"/>
      <c r="E72" s="19"/>
      <c r="F72" s="19"/>
      <c r="G72" s="19"/>
      <c r="H72" s="19"/>
      <c r="I72" s="19"/>
      <c r="J72" s="21">
        <f>((K71*$E$7)/(1+$E$6))+((K73*(1-$E$7))/(1+$E$6))</f>
        <v>0.37137818244858661</v>
      </c>
      <c r="K72" s="19"/>
      <c r="L72" s="21">
        <f>((M71*$E$7)/(1+$E$6))+((M73*(1-$E$7))/(1+$E$6))</f>
        <v>0.37758303597542958</v>
      </c>
      <c r="M72" s="19"/>
      <c r="N72" s="21">
        <f>IF(N17&lt;Exercise,Exercise-N17,0)</f>
        <v>0.31275040889727279</v>
      </c>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row>
    <row r="73" spans="1:40" ht="19" customHeight="1" x14ac:dyDescent="0.15">
      <c r="A73" s="10"/>
      <c r="B73" s="19"/>
      <c r="C73" s="19"/>
      <c r="D73" s="19"/>
      <c r="E73" s="19"/>
      <c r="F73" s="19"/>
      <c r="G73" s="19"/>
      <c r="H73" s="19"/>
      <c r="I73" s="21">
        <f>((J72*$E$7)/(1+$E$6))+((J74*(1-$E$7))/(1+$E$6))</f>
        <v>0.654829937455079</v>
      </c>
      <c r="J73" s="19"/>
      <c r="K73" s="21">
        <f>((L72*$E$7)/(1+$E$6))+((L74*(1-$E$7))/(1+$E$6))</f>
        <v>0.73556550102965501</v>
      </c>
      <c r="L73" s="19"/>
      <c r="M73" s="21">
        <f>((N72*$E$7)/(1+$E$6))+((N74*(1-$E$7))/(1+$E$6))</f>
        <v>0.83965973899904356</v>
      </c>
      <c r="N73" s="19"/>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row>
    <row r="74" spans="1:40" ht="19" customHeight="1" x14ac:dyDescent="0.15">
      <c r="A74" s="10"/>
      <c r="B74" s="19"/>
      <c r="C74" s="19"/>
      <c r="D74" s="19"/>
      <c r="E74" s="19"/>
      <c r="F74" s="19"/>
      <c r="G74" s="19"/>
      <c r="H74" s="21">
        <f>((I73*$E$7)/(1+$E$6))+((I75*(1-$E$7))/(1+$E$6))</f>
        <v>0.99943061288732737</v>
      </c>
      <c r="I74" s="19"/>
      <c r="J74" s="21">
        <f>((K73*$E$7)/(1+$E$6))+((K75*(1-$E$7))/(1+$E$6))</f>
        <v>1.1521495771738504</v>
      </c>
      <c r="K74" s="19"/>
      <c r="L74" s="21">
        <f>((M73*$E$7)/(1+$E$6))+((M75*(1-$E$7))/(1+$E$6))</f>
        <v>1.3633178063400408</v>
      </c>
      <c r="M74" s="19"/>
      <c r="N74" s="21">
        <f>IF(N19&lt;Exercise,Exercise-N19,0)</f>
        <v>1.7627561695102543</v>
      </c>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row>
    <row r="75" spans="1:40" ht="19" customHeight="1" x14ac:dyDescent="0.15">
      <c r="A75" s="10"/>
      <c r="B75" s="19"/>
      <c r="C75" s="19"/>
      <c r="D75" s="19"/>
      <c r="E75" s="19"/>
      <c r="F75" s="19"/>
      <c r="G75" s="21">
        <f>((H74*$E$7)/(1+$E$6))+((H76*(1-$E$7))/(1+$E$6))</f>
        <v>1.3907613218216306</v>
      </c>
      <c r="H75" s="19"/>
      <c r="I75" s="21">
        <f>((J74*$E$7)/(1+$E$6))+((J76*(1-$E$7))/(1+$E$6))</f>
        <v>1.6047758982825162</v>
      </c>
      <c r="J75" s="19"/>
      <c r="K75" s="21">
        <f>((L74*$E$7)/(1+$E$6))+((L76*(1-$E$7))/(1+$E$6))</f>
        <v>1.8837412858117955</v>
      </c>
      <c r="L75" s="19"/>
      <c r="M75" s="21">
        <f>((N74*$E$7)/(1+$E$6))+((N76*(1-$E$7))/(1+$E$6))</f>
        <v>2.2826406062981359</v>
      </c>
      <c r="N75" s="19"/>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row>
    <row r="76" spans="1:40" ht="19" customHeight="1" x14ac:dyDescent="0.15">
      <c r="A76" s="10"/>
      <c r="B76" s="19"/>
      <c r="C76" s="19"/>
      <c r="D76" s="19"/>
      <c r="E76" s="19"/>
      <c r="F76" s="21">
        <f>((G75*$E$7)/(1+$E$6))+((G77*(1-$E$7))/(1+$E$6))</f>
        <v>1.8163612962175537</v>
      </c>
      <c r="G76" s="19"/>
      <c r="H76" s="21">
        <f>((I75*$E$7)/(1+$E$6))+((I77*(1-$E$7))/(1+$E$6))</f>
        <v>2.0791250758382613</v>
      </c>
      <c r="I76" s="19"/>
      <c r="J76" s="21">
        <f>((K75*$E$7)/(1+$E$6))+((K77*(1-$E$7))/(1+$E$6))</f>
        <v>2.4009467702997833</v>
      </c>
      <c r="K76" s="19"/>
      <c r="L76" s="21">
        <f>((M75*$E$7)/(1+$E$6))+((M77*(1-$E$7))/(1+$E$6))</f>
        <v>2.7993078140700804</v>
      </c>
      <c r="M76" s="19"/>
      <c r="N76" s="21">
        <f>IF(N21&lt;Exercise,Exercise-N21,0)</f>
        <v>3.1987158660025443</v>
      </c>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row>
    <row r="77" spans="1:40" ht="19" customHeight="1" x14ac:dyDescent="0.15">
      <c r="A77" s="10"/>
      <c r="B77" s="19"/>
      <c r="C77" s="19"/>
      <c r="D77" s="19"/>
      <c r="E77" s="21">
        <f>((F76*$E$7)/(1+$E$6))+((F78*(1-$E$7))/(1+$E$6))</f>
        <v>2.2662215212927181</v>
      </c>
      <c r="F77" s="19"/>
      <c r="G77" s="21">
        <f>((H76*$E$7)/(1+$E$6))+((H78*(1-$E$7))/(1+$E$6))</f>
        <v>2.5661101490428533</v>
      </c>
      <c r="H77" s="19"/>
      <c r="I77" s="21">
        <f>((J76*$E$7)/(1+$E$6))+((J78*(1-$E$7))/(1+$E$6))</f>
        <v>2.9149507710823377</v>
      </c>
      <c r="J77" s="19"/>
      <c r="K77" s="21">
        <f>((L76*$E$7)/(1+$E$6))+((L78*(1-$E$7))/(1+$E$6))</f>
        <v>3.3127743028331507</v>
      </c>
      <c r="L77" s="19"/>
      <c r="M77" s="21">
        <f>((N76*$E$7)/(1+$E$6))+((N78*(1-$E$7))/(1+$E$6))</f>
        <v>3.7116434589316487</v>
      </c>
      <c r="N77" s="19"/>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row>
    <row r="78" spans="1:40" ht="19" customHeight="1" x14ac:dyDescent="0.15">
      <c r="A78" s="10"/>
      <c r="B78" s="19"/>
      <c r="C78" s="19"/>
      <c r="D78" s="21">
        <f>((E77*$E$7)/(1+$E$6))+((E79*(1-$E$7))/(1+$E$6))</f>
        <v>2.7326571567412405</v>
      </c>
      <c r="E78" s="19"/>
      <c r="F78" s="21">
        <f>((G77*$E$7)/(1+$E$6))+((G79*(1-$E$7))/(1+$E$6))</f>
        <v>3.0599667646946132</v>
      </c>
      <c r="G78" s="19"/>
      <c r="H78" s="21">
        <f>((I77*$E$7)/(1+$E$6))+((I79*(1-$E$7))/(1+$E$6))</f>
        <v>3.4257697182276234</v>
      </c>
      <c r="I78" s="19"/>
      <c r="J78" s="21">
        <f>((K77*$E$7)/(1+$E$6))+((K79*(1-$E$7))/(1+$E$6))</f>
        <v>3.8230565013871773</v>
      </c>
      <c r="K78" s="19"/>
      <c r="L78" s="21">
        <f>((M77*$E$7)/(1+$E$6))+((M79*(1-$E$7))/(1+$E$6))</f>
        <v>4.2213875269080869</v>
      </c>
      <c r="M78" s="19"/>
      <c r="N78" s="21">
        <f>IF(N23&lt;Exercise,Exercise-N23,0)</f>
        <v>4.6207655612248004</v>
      </c>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row>
    <row r="79" spans="1:40" ht="19" customHeight="1" x14ac:dyDescent="0.15">
      <c r="A79" s="24" t="s">
        <v>34</v>
      </c>
      <c r="B79" s="19"/>
      <c r="C79" s="21">
        <f>((D78*$E$7)/(1+$E$6))+((D80*(1-$E$7))/(1+$E$6))</f>
        <v>3.2099464583611774</v>
      </c>
      <c r="D79" s="19"/>
      <c r="E79" s="21">
        <f>((F78*$E$7)/(1+$E$6))+((F80*(1-$E$7))/(1+$E$6))</f>
        <v>3.5570404249881902</v>
      </c>
      <c r="F79" s="19"/>
      <c r="G79" s="21">
        <f>((H78*$E$7)/(1+$E$6))+((H80*(1-$E$7))/(1+$E$6))</f>
        <v>3.9334199609886911</v>
      </c>
      <c r="H79" s="19"/>
      <c r="I79" s="21">
        <f>((J78*$E$7)/(1+$E$6))+((J80*(1-$E$7))/(1+$E$6))</f>
        <v>4.3301707577198005</v>
      </c>
      <c r="J79" s="19"/>
      <c r="K79" s="21">
        <f>((L78*$E$7)/(1+$E$6))+((L80*(1-$E$7))/(1+$E$6))</f>
        <v>4.7279644166516785</v>
      </c>
      <c r="L79" s="19"/>
      <c r="M79" s="21">
        <f>((N78*$E$7)/(1+$E$6))+((N80*(1-$E$7))/(1+$E$6))</f>
        <v>5.1268037005618012</v>
      </c>
      <c r="N79" s="19"/>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row>
    <row r="80" spans="1:40" ht="19" customHeight="1" x14ac:dyDescent="0.15">
      <c r="A80" s="10"/>
      <c r="B80" s="25">
        <f>((C79*$E$7)/(1+$E$6))+((C81*(1-$E$7))/(1+$E$6))</f>
        <v>3.693923646668626</v>
      </c>
      <c r="C80" s="19"/>
      <c r="D80" s="21">
        <f>((E79*$E$7)/(1+$E$6))+((E81*(1-$E$7))/(1+$E$6))</f>
        <v>4.0550163794905618</v>
      </c>
      <c r="E80" s="19"/>
      <c r="F80" s="21">
        <f>((G79*$E$7)/(1+$E$6))+((G81*(1-$E$7))/(1+$E$6))</f>
        <v>4.4379177681966118</v>
      </c>
      <c r="G80" s="19"/>
      <c r="H80" s="21">
        <f>((I79*$E$7)/(1+$E$6))+((I81*(1-$E$7))/(1+$E$6))</f>
        <v>4.8341333393995942</v>
      </c>
      <c r="I80" s="19"/>
      <c r="J80" s="21">
        <f>((K79*$E$7)/(1+$E$6))+((K81*(1-$E$7))/(1+$E$6))</f>
        <v>5.2313903944660947</v>
      </c>
      <c r="K80" s="19"/>
      <c r="L80" s="21">
        <f>((M79*$E$7)/(1+$E$6))+((M81*(1-$E$7))/(1+$E$6))</f>
        <v>5.6296916925214529</v>
      </c>
      <c r="M80" s="19"/>
      <c r="N80" s="21">
        <f>IF(N25&lt;Exercise,Exercise-N25,0)</f>
        <v>6.0290400000000943</v>
      </c>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row>
    <row r="81" spans="1:40" ht="19" customHeight="1" x14ac:dyDescent="0.15">
      <c r="A81" s="10"/>
      <c r="B81" s="19"/>
      <c r="C81" s="21">
        <f>((D80*$E$7)/(1+$E$6))+((D82*(1-$E$7))/(1+$E$6))</f>
        <v>4.5524306000076447</v>
      </c>
      <c r="D81" s="19"/>
      <c r="E81" s="21">
        <f>((F80*$E$7)/(1+$E$6))+((F82*(1-$E$7))/(1+$E$6))</f>
        <v>4.9392793286517005</v>
      </c>
      <c r="F81" s="19"/>
      <c r="G81" s="21">
        <f>((H80*$E$7)/(1+$E$6))+((H82*(1-$E$7))/(1+$E$6))</f>
        <v>5.334960433967284</v>
      </c>
      <c r="H81" s="19"/>
      <c r="I81" s="21">
        <f>((J80*$E$7)/(1+$E$6))+((J82*(1-$E$7))/(1+$E$6))</f>
        <v>5.7316816466300633</v>
      </c>
      <c r="J81" s="19"/>
      <c r="K81" s="21">
        <f>((L80*$E$7)/(1+$E$6))+((L82*(1-$E$7))/(1+$E$6))</f>
        <v>6.1294457221180743</v>
      </c>
      <c r="L81" s="19"/>
      <c r="M81" s="21">
        <f>((N80*$E$7)/(1+$E$6))+((N82*(1-$E$7))/(1+$E$6))</f>
        <v>6.5282554232087797</v>
      </c>
      <c r="N81" s="19"/>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row>
    <row r="82" spans="1:40" ht="19" customHeight="1" x14ac:dyDescent="0.15">
      <c r="A82" s="10"/>
      <c r="B82" s="19"/>
      <c r="C82" s="19"/>
      <c r="D82" s="21">
        <f>((E81*$E$7)/(1+$E$6))+((E83*(1-$E$7))/(1+$E$6))</f>
        <v>5.4375207515128512</v>
      </c>
      <c r="E82" s="19"/>
      <c r="F82" s="21">
        <f>((G81*$E$7)/(1+$E$6))+((G83*(1-$E$7))/(1+$E$6))</f>
        <v>5.8326681493250661</v>
      </c>
      <c r="G82" s="19"/>
      <c r="H82" s="21">
        <f>((I81*$E$7)/(1+$E$6))+((I83*(1-$E$7))/(1+$E$6))</f>
        <v>6.2288542797866828</v>
      </c>
      <c r="I82" s="19"/>
      <c r="J82" s="21">
        <f>((K81*$E$7)/(1+$E$6))+((K83*(1-$E$7))/(1+$E$6))</f>
        <v>6.6260818947332556</v>
      </c>
      <c r="K82" s="19"/>
      <c r="L82" s="21">
        <f>((M81*$E$7)/(1+$E$6))+((M83*(1-$E$7))/(1+$E$6))</f>
        <v>7.0243537532901144</v>
      </c>
      <c r="M82" s="19"/>
      <c r="N82" s="21">
        <f>IF(N27&lt;Exercise,Exercise-N27,0)</f>
        <v>7.4236726218916829</v>
      </c>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row>
    <row r="83" spans="1:40" ht="19" customHeight="1" x14ac:dyDescent="0.15">
      <c r="A83" s="10"/>
      <c r="B83" s="19"/>
      <c r="C83" s="19"/>
      <c r="D83" s="19"/>
      <c r="E83" s="21">
        <f>((F82*$E$7)/(1+$E$6))+((F84*(1-$E$7))/(1+$E$6))</f>
        <v>6.3272725141240418</v>
      </c>
      <c r="F83" s="19"/>
      <c r="G83" s="21">
        <f>((H82*$E$7)/(1+$E$6))+((H84*(1-$E$7))/(1+$E$6))</f>
        <v>6.7229243213308427</v>
      </c>
      <c r="H83" s="19"/>
      <c r="I83" s="21">
        <f>((J82*$E$7)/(1+$E$6))+((J84*(1-$E$7))/(1+$E$6))</f>
        <v>7.1196162365032691</v>
      </c>
      <c r="J83" s="19"/>
      <c r="K83" s="21">
        <f>((L82*$E$7)/(1+$E$6))+((L84*(1-$E$7))/(1+$E$6))</f>
        <v>7.5173510151193454</v>
      </c>
      <c r="L83" s="19"/>
      <c r="M83" s="21">
        <f>((N82*$E$7)/(1+$E$6))+((N84*(1-$E$7))/(1+$E$6))</f>
        <v>7.9161314199565256</v>
      </c>
      <c r="N83" s="19"/>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row>
    <row r="84" spans="1:40" ht="19" customHeight="1" x14ac:dyDescent="0.15">
      <c r="A84" s="10"/>
      <c r="B84" s="19"/>
      <c r="C84" s="19"/>
      <c r="D84" s="19"/>
      <c r="E84" s="19"/>
      <c r="F84" s="21">
        <f>((G83*$E$7)/(1+$E$6))+((G85*(1-$E$7))/(1+$E$6))</f>
        <v>7.2139077197947703</v>
      </c>
      <c r="G84" s="19"/>
      <c r="H84" s="21">
        <f>((I83*$E$7)/(1+$E$6))+((I85*(1-$E$7))/(1+$E$6))</f>
        <v>7.6100646947046044</v>
      </c>
      <c r="I84" s="19"/>
      <c r="J84" s="21">
        <f>((K83*$E$7)/(1+$E$6))+((K85*(1-$E$7))/(1+$E$6))</f>
        <v>8.0072631547148188</v>
      </c>
      <c r="K84" s="19"/>
      <c r="L84" s="21">
        <f>((M83*$E$7)/(1+$E$6))+((M85*(1-$E$7))/(1+$E$6))</f>
        <v>8.4055058589507325</v>
      </c>
      <c r="M84" s="19"/>
      <c r="N84" s="21">
        <f>IF(N29&lt;Exercise,Exercise-N29,0)</f>
        <v>8.8047955738467465</v>
      </c>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row>
    <row r="85" spans="1:40" ht="19" customHeight="1" x14ac:dyDescent="0.15">
      <c r="A85" s="10"/>
      <c r="B85" s="19"/>
      <c r="C85" s="19"/>
      <c r="D85" s="19"/>
      <c r="E85" s="19"/>
      <c r="F85" s="19"/>
      <c r="G85" s="21">
        <f>((H84*$E$7)/(1+$E$6))+((H86*(1-$E$7))/(1+$E$6))</f>
        <v>8.0974431381376348</v>
      </c>
      <c r="H85" s="19"/>
      <c r="I85" s="21">
        <f>((J84*$E$7)/(1+$E$6))+((J86*(1-$E$7))/(1+$E$6))</f>
        <v>8.4941060396216379</v>
      </c>
      <c r="J85" s="19"/>
      <c r="K85" s="21">
        <f>((L84*$E$7)/(1+$E$6))+((L86*(1-$E$7))/(1+$E$6))</f>
        <v>8.8918118051617228</v>
      </c>
      <c r="L85" s="19"/>
      <c r="M85" s="21">
        <f>((N84*$E$7)/(1+$E$6))+((N86*(1-$E$7))/(1+$E$6))</f>
        <v>9.2905631975353273</v>
      </c>
      <c r="N85" s="19"/>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row>
    <row r="86" spans="1:40" ht="19" customHeight="1" x14ac:dyDescent="0.15">
      <c r="A86" s="10"/>
      <c r="B86" s="19"/>
      <c r="C86" s="19"/>
      <c r="D86" s="19"/>
      <c r="E86" s="19"/>
      <c r="F86" s="19"/>
      <c r="G86" s="19"/>
      <c r="H86" s="21">
        <f>((I85*$E$7)/(1+$E$6))+((I87*(1-$E$7))/(1+$E$6))</f>
        <v>8.9778954592934568</v>
      </c>
      <c r="I86" s="19"/>
      <c r="J86" s="21">
        <f>((K85*$E$7)/(1+$E$6))+((K87*(1-$E$7))/(1+$E$6))</f>
        <v>9.3750650467883361</v>
      </c>
      <c r="K86" s="19"/>
      <c r="L86" s="21">
        <f>((M85*$E$7)/(1+$E$6))+((M87*(1-$E$7))/(1+$E$6))</f>
        <v>9.7732788791183651</v>
      </c>
      <c r="M86" s="19"/>
      <c r="N86" s="21">
        <f>IF(N31&lt;Exercise,Exercise-N31,0)</f>
        <v>10.172539722717943</v>
      </c>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row>
    <row r="87" spans="1:40" ht="19" customHeight="1" x14ac:dyDescent="0.15">
      <c r="A87" s="10"/>
      <c r="B87" s="19"/>
      <c r="C87" s="19"/>
      <c r="D87" s="19"/>
      <c r="E87" s="19"/>
      <c r="F87" s="19"/>
      <c r="G87" s="19"/>
      <c r="H87" s="19"/>
      <c r="I87" s="21">
        <f>((J86*$E$7)/(1+$E$6))+((J88*(1-$E$7))/(1+$E$6))</f>
        <v>9.8552812943207666</v>
      </c>
      <c r="J87" s="19"/>
      <c r="K87" s="21">
        <f>((L86*$E$7)/(1+$E$6))+((L88*(1-$E$7))/(1+$E$6))</f>
        <v>10.25295832783169</v>
      </c>
      <c r="L87" s="19"/>
      <c r="M87" s="21">
        <f>((N86*$E$7)/(1+$E$6))+((N88*(1-$E$7))/(1+$E$6))</f>
        <v>10.651680988782619</v>
      </c>
      <c r="N87" s="19"/>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row>
    <row r="88" spans="1:40" ht="19" customHeight="1" x14ac:dyDescent="0.15">
      <c r="A88" s="10"/>
      <c r="B88" s="19"/>
      <c r="C88" s="19"/>
      <c r="D88" s="19"/>
      <c r="E88" s="19"/>
      <c r="F88" s="19"/>
      <c r="G88" s="19"/>
      <c r="H88" s="19"/>
      <c r="I88" s="19"/>
      <c r="J88" s="21">
        <f>((K87*$E$7)/(1+$E$6))+((K89*(1-$E$7))/(1+$E$6))</f>
        <v>10.729617175583421</v>
      </c>
      <c r="K88" s="19"/>
      <c r="L88" s="21">
        <f>((M87*$E$7)/(1+$E$6))+((M89*(1-$E$7))/(1+$E$6))</f>
        <v>11.127802415686894</v>
      </c>
      <c r="M88" s="19"/>
      <c r="N88" s="21">
        <f>IF(N33&lt;Exercise,Exercise-N33,0)</f>
        <v>11.527034667663429</v>
      </c>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row>
    <row r="89" spans="1:40" ht="19" customHeight="1" x14ac:dyDescent="0.15">
      <c r="A89" s="10"/>
      <c r="B89" s="19"/>
      <c r="C89" s="19"/>
      <c r="D89" s="19"/>
      <c r="E89" s="19"/>
      <c r="F89" s="19"/>
      <c r="G89" s="19"/>
      <c r="H89" s="19"/>
      <c r="I89" s="19"/>
      <c r="J89" s="19"/>
      <c r="K89" s="21">
        <f>((L88*$E$7)/(1+$E$6))+((L90*(1-$E$7))/(1+$E$6))</f>
        <v>11.600919557136329</v>
      </c>
      <c r="L89" s="19"/>
      <c r="M89" s="21">
        <f>((N88*$E$7)/(1+$E$6))+((N90*(1-$E$7))/(1+$E$6))</f>
        <v>11.999613764983064</v>
      </c>
      <c r="N89" s="19"/>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row>
    <row r="90" spans="1:40" ht="19" customHeight="1" x14ac:dyDescent="0.15">
      <c r="A90" s="10"/>
      <c r="B90" s="19"/>
      <c r="C90" s="19"/>
      <c r="D90" s="19"/>
      <c r="E90" s="19"/>
      <c r="F90" s="19"/>
      <c r="G90" s="19"/>
      <c r="H90" s="19"/>
      <c r="I90" s="19"/>
      <c r="J90" s="19"/>
      <c r="K90" s="19"/>
      <c r="L90" s="21">
        <f>((M89*$E$7)/(1+$E$6))+((M91*(1-$E$7))/(1+$E$6))</f>
        <v>12.469204815109315</v>
      </c>
      <c r="M90" s="19"/>
      <c r="N90" s="21">
        <f>IF(N35&lt;Exercise,Exercise-N35,0)</f>
        <v>12.868408752427115</v>
      </c>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row>
    <row r="91" spans="1:40" ht="19" customHeight="1" x14ac:dyDescent="0.15">
      <c r="A91" s="10"/>
      <c r="B91" s="19"/>
      <c r="C91" s="19"/>
      <c r="D91" s="19"/>
      <c r="E91" s="19"/>
      <c r="F91" s="19"/>
      <c r="G91" s="19"/>
      <c r="H91" s="19"/>
      <c r="I91" s="19"/>
      <c r="J91" s="19"/>
      <c r="K91" s="19"/>
      <c r="L91" s="19"/>
      <c r="M91" s="21">
        <f>((N90*$E$7)/(1+$E$6))+((N92*(1-$E$7))/(1+$E$6))</f>
        <v>13.334489248089097</v>
      </c>
      <c r="N91" s="19"/>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row>
    <row r="92" spans="1:40" ht="19" customHeight="1" x14ac:dyDescent="0.15">
      <c r="A92" s="10"/>
      <c r="B92" s="19"/>
      <c r="C92" s="19"/>
      <c r="D92" s="19"/>
      <c r="E92" s="19"/>
      <c r="F92" s="19"/>
      <c r="G92" s="19"/>
      <c r="H92" s="19"/>
      <c r="I92" s="19"/>
      <c r="J92" s="19"/>
      <c r="K92" s="19"/>
      <c r="L92" s="19"/>
      <c r="M92" s="19"/>
      <c r="N92" s="21">
        <f>IF(N37&lt;Exercise,Exercise-N37,0)</f>
        <v>14.196789077499403</v>
      </c>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row>
    <row r="93" spans="1:40" ht="19" customHeight="1" x14ac:dyDescent="0.1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row>
    <row r="94" spans="1:40" ht="19" customHeight="1" x14ac:dyDescent="0.1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row>
    <row r="95" spans="1:40" ht="19" customHeight="1" x14ac:dyDescent="0.1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row>
    <row r="96" spans="1:40" ht="19" customHeight="1" x14ac:dyDescent="0.1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row>
    <row r="97" spans="1:40" ht="19" customHeight="1" x14ac:dyDescent="0.1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row>
    <row r="98" spans="1:40" ht="19" customHeight="1" x14ac:dyDescent="0.1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row>
    <row r="99" spans="1:40" ht="19" customHeight="1" x14ac:dyDescent="0.1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row>
    <row r="100" spans="1:40" ht="19" customHeight="1" x14ac:dyDescent="0.1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row>
    <row r="101" spans="1:40" ht="19" customHeight="1" x14ac:dyDescent="0.1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row>
    <row r="102" spans="1:40" ht="19" customHeight="1" x14ac:dyDescent="0.1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row>
    <row r="103" spans="1:40" ht="19" customHeight="1" x14ac:dyDescent="0.1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row>
    <row r="104" spans="1:40" ht="19" customHeight="1" x14ac:dyDescent="0.1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row>
    <row r="105" spans="1:40" ht="19" customHeight="1" x14ac:dyDescent="0.1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row>
    <row r="106" spans="1:40" ht="19" customHeight="1" x14ac:dyDescent="0.1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row>
    <row r="107" spans="1:40" ht="19" customHeight="1" x14ac:dyDescent="0.1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row>
    <row r="108" spans="1:40" ht="19" customHeight="1" x14ac:dyDescent="0.1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row>
    <row r="109" spans="1:40" ht="19" customHeight="1" x14ac:dyDescent="0.1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row>
    <row r="110" spans="1:40" ht="19" customHeight="1" x14ac:dyDescent="0.1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row>
    <row r="111" spans="1:40" ht="19" customHeight="1" x14ac:dyDescent="0.1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row>
    <row r="112" spans="1:40" ht="19" customHeight="1" x14ac:dyDescent="0.1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row>
    <row r="113" spans="1:40" ht="19" customHeight="1" x14ac:dyDescent="0.1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row>
    <row r="114" spans="1:40" ht="19" customHeight="1" x14ac:dyDescent="0.1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row>
    <row r="115" spans="1:40" ht="19" customHeight="1" x14ac:dyDescent="0.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row>
    <row r="116" spans="1:40" ht="19" customHeight="1" x14ac:dyDescent="0.1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row>
    <row r="117" spans="1:40" ht="19" customHeight="1" x14ac:dyDescent="0.1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row>
    <row r="118" spans="1:40" ht="19" customHeight="1" x14ac:dyDescent="0.1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row>
    <row r="119" spans="1:40" ht="19" customHeight="1" x14ac:dyDescent="0.1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row>
    <row r="120" spans="1:40" ht="19" customHeight="1" x14ac:dyDescent="0.1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row>
    <row r="121" spans="1:40" ht="19" customHeight="1" x14ac:dyDescent="0.1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row>
    <row r="122" spans="1:40" ht="19" customHeight="1" x14ac:dyDescent="0.1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row>
    <row r="123" spans="1:40" ht="19" customHeight="1" x14ac:dyDescent="0.15">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row>
    <row r="124" spans="1:40" ht="19" customHeight="1" x14ac:dyDescent="0.15">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row>
    <row r="125" spans="1:40" ht="19" customHeight="1" x14ac:dyDescent="0.15">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row>
    <row r="126" spans="1:40" ht="19" customHeight="1" x14ac:dyDescent="0.15">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row>
    <row r="127" spans="1:40" ht="19" customHeight="1" x14ac:dyDescent="0.15">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row>
    <row r="128" spans="1:40" ht="19" customHeight="1" x14ac:dyDescent="0.15">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row>
    <row r="129" spans="1:40" ht="19" customHeight="1" x14ac:dyDescent="0.15">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row>
    <row r="130" spans="1:40" ht="19" customHeight="1" x14ac:dyDescent="0.15">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row>
    <row r="131" spans="1:40" ht="19" customHeight="1" x14ac:dyDescent="0.15">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row>
    <row r="132" spans="1:40" ht="19" customHeight="1" x14ac:dyDescent="0.15">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row>
    <row r="133" spans="1:40" ht="19" customHeight="1" x14ac:dyDescent="0.15">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row>
    <row r="134" spans="1:40" ht="19" customHeight="1" x14ac:dyDescent="0.15">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row>
    <row r="135" spans="1:40" ht="19" customHeight="1" x14ac:dyDescent="0.15">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row>
    <row r="136" spans="1:40" ht="19" customHeight="1" x14ac:dyDescent="0.15">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row>
    <row r="137" spans="1:40" ht="19" customHeight="1" x14ac:dyDescent="0.15">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row>
    <row r="138" spans="1:40" ht="19" customHeight="1" x14ac:dyDescent="0.15">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row>
    <row r="139" spans="1:40" ht="19" customHeight="1" x14ac:dyDescent="0.15">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row>
    <row r="140" spans="1:40" ht="19" customHeight="1" x14ac:dyDescent="0.15">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row>
    <row r="141" spans="1:40" ht="19" customHeight="1" x14ac:dyDescent="0.15">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row>
    <row r="142" spans="1:40" ht="19" customHeight="1" x14ac:dyDescent="0.15">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row>
    <row r="143" spans="1:40" ht="19" customHeight="1" x14ac:dyDescent="0.15">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row>
    <row r="144" spans="1:40" ht="19" customHeight="1" x14ac:dyDescent="0.15">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row>
    <row r="145" spans="1:40" ht="19" customHeight="1" x14ac:dyDescent="0.15">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row>
    <row r="146" spans="1:40" ht="19" customHeight="1" x14ac:dyDescent="0.15">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row>
    <row r="147" spans="1:40" ht="19" customHeight="1" x14ac:dyDescent="0.15">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row>
    <row r="148" spans="1:40" ht="19" customHeight="1" x14ac:dyDescent="0.15">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row>
    <row r="149" spans="1:40" ht="19" customHeight="1" x14ac:dyDescent="0.15">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row>
    <row r="150" spans="1:40" ht="19" customHeight="1" x14ac:dyDescent="0.15">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row>
    <row r="151" spans="1:40" ht="19" customHeight="1" x14ac:dyDescent="0.15">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row>
    <row r="152" spans="1:40" ht="19" customHeight="1" x14ac:dyDescent="0.15">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row>
    <row r="153" spans="1:40" ht="19" customHeight="1" x14ac:dyDescent="0.15">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row>
    <row r="154" spans="1:40" ht="19" customHeight="1" x14ac:dyDescent="0.15">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row>
    <row r="155" spans="1:40" ht="19" customHeight="1" x14ac:dyDescent="0.15">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row>
    <row r="156" spans="1:40" ht="19" customHeight="1" x14ac:dyDescent="0.15">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row>
    <row r="157" spans="1:40" ht="19" customHeight="1" x14ac:dyDescent="0.15">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row>
    <row r="158" spans="1:40" ht="19" customHeight="1" x14ac:dyDescent="0.15">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row>
    <row r="159" spans="1:40" ht="19" customHeight="1" x14ac:dyDescent="0.15">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row>
    <row r="160" spans="1:40" ht="19" customHeight="1" x14ac:dyDescent="0.15">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row>
    <row r="161" spans="1:40" ht="19" customHeight="1" x14ac:dyDescent="0.15">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row>
    <row r="162" spans="1:40" ht="19" customHeight="1" x14ac:dyDescent="0.15">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row>
    <row r="163" spans="1:40" ht="19" customHeight="1" x14ac:dyDescent="0.15">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row>
    <row r="164" spans="1:40" ht="19" customHeight="1" x14ac:dyDescent="0.15">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row>
    <row r="165" spans="1:40" ht="19" customHeight="1" x14ac:dyDescent="0.15">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row>
    <row r="166" spans="1:40" ht="19" customHeight="1" x14ac:dyDescent="0.15">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row>
    <row r="167" spans="1:40" ht="19" customHeight="1" x14ac:dyDescent="0.15">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row>
    <row r="168" spans="1:40" ht="19" customHeight="1" x14ac:dyDescent="0.15">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row>
    <row r="169" spans="1:40" ht="19" customHeight="1" x14ac:dyDescent="0.15">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row>
    <row r="170" spans="1:40" ht="19" customHeight="1" x14ac:dyDescent="0.15">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row>
    <row r="171" spans="1:40" ht="19" customHeight="1" x14ac:dyDescent="0.15">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row>
    <row r="172" spans="1:40" ht="19" customHeight="1" x14ac:dyDescent="0.15">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row>
    <row r="173" spans="1:40" ht="19" customHeight="1" x14ac:dyDescent="0.15">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row>
    <row r="174" spans="1:40" ht="19" customHeight="1" x14ac:dyDescent="0.15">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row>
    <row r="175" spans="1:40" ht="19" customHeight="1" x14ac:dyDescent="0.15">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row>
    <row r="176" spans="1:40" ht="19" customHeight="1" x14ac:dyDescent="0.15">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row>
    <row r="177" spans="1:40" ht="19" customHeight="1" x14ac:dyDescent="0.15">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row>
    <row r="178" spans="1:40" ht="19" customHeight="1" x14ac:dyDescent="0.15">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row>
    <row r="179" spans="1:40" ht="19" customHeight="1" x14ac:dyDescent="0.15">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row>
    <row r="180" spans="1:40" ht="19" customHeight="1" x14ac:dyDescent="0.15">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row>
    <row r="181" spans="1:40" ht="19" customHeight="1" x14ac:dyDescent="0.15">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row>
    <row r="182" spans="1:40" ht="19" customHeight="1" x14ac:dyDescent="0.15">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row>
    <row r="183" spans="1:40" ht="19" customHeight="1" x14ac:dyDescent="0.15">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row>
    <row r="184" spans="1:40" ht="19" customHeight="1" x14ac:dyDescent="0.15">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row>
    <row r="185" spans="1:40" ht="19" customHeight="1" x14ac:dyDescent="0.15">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row>
    <row r="186" spans="1:40" ht="19" customHeight="1" x14ac:dyDescent="0.15">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row>
    <row r="187" spans="1:40" ht="19" customHeight="1" x14ac:dyDescent="0.15">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row>
    <row r="188" spans="1:40" ht="19" customHeight="1" x14ac:dyDescent="0.15">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row>
    <row r="189" spans="1:40" ht="19" customHeight="1" x14ac:dyDescent="0.15">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row>
    <row r="190" spans="1:40" ht="19" customHeight="1" x14ac:dyDescent="0.15">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row>
    <row r="191" spans="1:40" ht="19" customHeight="1" x14ac:dyDescent="0.15">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row>
    <row r="192" spans="1:40" ht="19" customHeight="1" x14ac:dyDescent="0.15">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row>
    <row r="193" spans="1:40" ht="19" customHeight="1" x14ac:dyDescent="0.15">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row>
    <row r="194" spans="1:40" ht="19" customHeight="1" x14ac:dyDescent="0.15">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row>
    <row r="195" spans="1:40" ht="19" customHeight="1" x14ac:dyDescent="0.15">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row>
    <row r="196" spans="1:40" ht="19" customHeight="1" x14ac:dyDescent="0.15">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row>
    <row r="197" spans="1:40" ht="19" customHeight="1" x14ac:dyDescent="0.15">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row>
    <row r="198" spans="1:40" ht="19" customHeight="1" x14ac:dyDescent="0.15">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row>
    <row r="199" spans="1:40" ht="19" customHeight="1" x14ac:dyDescent="0.15">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row>
    <row r="200" spans="1:40" ht="19" customHeight="1" x14ac:dyDescent="0.15">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row>
    <row r="201" spans="1:40" ht="19" customHeight="1" x14ac:dyDescent="0.15">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row>
    <row r="202" spans="1:40" ht="19" customHeight="1" x14ac:dyDescent="0.15">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row>
    <row r="203" spans="1:40" ht="19" customHeight="1" x14ac:dyDescent="0.15">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row>
    <row r="204" spans="1:40" ht="19" customHeight="1" x14ac:dyDescent="0.15">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row>
    <row r="205" spans="1:40" ht="19" customHeight="1" x14ac:dyDescent="0.15">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row>
    <row r="206" spans="1:40" ht="19" customHeight="1" x14ac:dyDescent="0.15">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row>
    <row r="207" spans="1:40" ht="19" customHeight="1" x14ac:dyDescent="0.15">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row>
    <row r="208" spans="1:40" ht="19" customHeight="1" x14ac:dyDescent="0.15">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row>
    <row r="209" spans="1:40" ht="19" customHeight="1" x14ac:dyDescent="0.15">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row>
    <row r="210" spans="1:40" ht="19" customHeight="1" x14ac:dyDescent="0.15">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row>
    <row r="211" spans="1:40" ht="19" customHeight="1" x14ac:dyDescent="0.15">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row>
    <row r="212" spans="1:40" ht="19" customHeight="1" x14ac:dyDescent="0.15">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row>
    <row r="213" spans="1:40" ht="19" customHeight="1" x14ac:dyDescent="0.15">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row>
    <row r="214" spans="1:40" ht="19" customHeight="1" x14ac:dyDescent="0.15">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row>
    <row r="215" spans="1:40" ht="19" customHeight="1" x14ac:dyDescent="0.15">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row>
    <row r="216" spans="1:40" ht="19" customHeight="1" x14ac:dyDescent="0.15">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row>
    <row r="217" spans="1:40" ht="19" customHeight="1" x14ac:dyDescent="0.15">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row>
    <row r="218" spans="1:40" ht="19" customHeight="1" x14ac:dyDescent="0.15">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row>
    <row r="219" spans="1:40" ht="19" customHeight="1" x14ac:dyDescent="0.15">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row>
    <row r="220" spans="1:40" ht="19" customHeight="1" x14ac:dyDescent="0.15">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row>
    <row r="221" spans="1:40" ht="19" customHeight="1" x14ac:dyDescent="0.15">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row>
    <row r="222" spans="1:40" ht="19" customHeight="1" x14ac:dyDescent="0.15">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row>
    <row r="223" spans="1:40" ht="19" customHeight="1" x14ac:dyDescent="0.15">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row>
    <row r="224" spans="1:40" ht="19" customHeight="1" x14ac:dyDescent="0.15">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row>
    <row r="225" spans="1:40" ht="19" customHeight="1" x14ac:dyDescent="0.15">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row>
    <row r="226" spans="1:40" ht="19" customHeight="1" x14ac:dyDescent="0.15">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row>
    <row r="227" spans="1:40" ht="19" customHeight="1" x14ac:dyDescent="0.15">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row>
    <row r="228" spans="1:40" ht="19" customHeight="1" x14ac:dyDescent="0.15">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row>
    <row r="229" spans="1:40" ht="19" customHeight="1" x14ac:dyDescent="0.15">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row>
    <row r="230" spans="1:40" ht="19" customHeight="1" x14ac:dyDescent="0.15">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row>
    <row r="231" spans="1:40" ht="19" customHeight="1" x14ac:dyDescent="0.15">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row>
    <row r="232" spans="1:40" ht="19" customHeight="1" x14ac:dyDescent="0.15">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row>
    <row r="233" spans="1:40" ht="19" customHeight="1" x14ac:dyDescent="0.15">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row>
    <row r="234" spans="1:40" ht="19" customHeight="1" x14ac:dyDescent="0.15">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row>
    <row r="235" spans="1:40" ht="19" customHeight="1" x14ac:dyDescent="0.15">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row>
    <row r="236" spans="1:40" ht="19" customHeight="1" x14ac:dyDescent="0.15">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row>
    <row r="237" spans="1:40" ht="19" customHeight="1" x14ac:dyDescent="0.15">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row>
    <row r="238" spans="1:40" ht="19" customHeight="1" x14ac:dyDescent="0.15">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row>
    <row r="239" spans="1:40" ht="19" customHeight="1" x14ac:dyDescent="0.15">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row>
    <row r="240" spans="1:40" ht="19" customHeight="1" x14ac:dyDescent="0.15">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row>
    <row r="241" spans="1:40" ht="19" customHeight="1" x14ac:dyDescent="0.15">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row>
    <row r="242" spans="1:40" ht="19" customHeight="1" x14ac:dyDescent="0.15">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row>
    <row r="243" spans="1:40" ht="19" customHeight="1" x14ac:dyDescent="0.15">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row>
    <row r="244" spans="1:40" ht="19" customHeight="1" x14ac:dyDescent="0.15">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row>
    <row r="245" spans="1:40" ht="19" customHeight="1" x14ac:dyDescent="0.15">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row>
    <row r="246" spans="1:40" ht="19" customHeight="1" x14ac:dyDescent="0.15">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row>
    <row r="247" spans="1:40" ht="19" customHeight="1" x14ac:dyDescent="0.15">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row>
    <row r="248" spans="1:40" ht="19" customHeight="1" x14ac:dyDescent="0.15">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row>
    <row r="249" spans="1:40" ht="19" customHeight="1" x14ac:dyDescent="0.15">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row>
    <row r="250" spans="1:40" ht="19" customHeight="1" x14ac:dyDescent="0.15">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row>
    <row r="251" spans="1:40" ht="19" customHeight="1" x14ac:dyDescent="0.15">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row>
    <row r="252" spans="1:40" ht="19" customHeight="1" x14ac:dyDescent="0.15">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row>
    <row r="253" spans="1:40" ht="19" customHeight="1" x14ac:dyDescent="0.15">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row>
    <row r="254" spans="1:40" ht="19" customHeight="1" x14ac:dyDescent="0.15">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row>
    <row r="255" spans="1:40" ht="19" customHeight="1" x14ac:dyDescent="0.15">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row>
    <row r="256" spans="1:40" ht="19" customHeight="1" x14ac:dyDescent="0.15">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row>
    <row r="257" spans="1:40" ht="19" customHeight="1" x14ac:dyDescent="0.15">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row>
    <row r="258" spans="1:40" ht="19" customHeight="1" x14ac:dyDescent="0.15">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c r="AN258" s="10"/>
    </row>
    <row r="259" spans="1:40" ht="19" customHeight="1" x14ac:dyDescent="0.15">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c r="AN259" s="10"/>
    </row>
    <row r="260" spans="1:40" ht="19" customHeight="1" x14ac:dyDescent="0.15">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c r="AN260" s="10"/>
    </row>
    <row r="261" spans="1:40" ht="19" customHeight="1" x14ac:dyDescent="0.15">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c r="AN261" s="10"/>
    </row>
    <row r="262" spans="1:40" ht="19" customHeight="1" x14ac:dyDescent="0.15">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c r="AN262" s="10"/>
    </row>
    <row r="263" spans="1:40" ht="19" customHeight="1" x14ac:dyDescent="0.15">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c r="AN263" s="10"/>
    </row>
    <row r="264" spans="1:40" ht="19" customHeight="1" x14ac:dyDescent="0.15">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c r="AN264" s="10"/>
    </row>
    <row r="265" spans="1:40" ht="19" customHeight="1" x14ac:dyDescent="0.15">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c r="AN265" s="10"/>
    </row>
    <row r="266" spans="1:40" ht="19" customHeight="1" x14ac:dyDescent="0.15">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c r="AN266" s="10"/>
    </row>
    <row r="267" spans="1:40" ht="19" customHeight="1" x14ac:dyDescent="0.15">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c r="AN267" s="10"/>
    </row>
    <row r="268" spans="1:40" ht="19" customHeight="1" x14ac:dyDescent="0.15">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c r="AN268" s="10"/>
    </row>
    <row r="269" spans="1:40" ht="19" customHeight="1" x14ac:dyDescent="0.15">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c r="AN269" s="10"/>
    </row>
    <row r="270" spans="1:40" ht="19" customHeight="1" x14ac:dyDescent="0.15">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c r="AN270" s="10"/>
    </row>
    <row r="271" spans="1:40" ht="19" customHeight="1" x14ac:dyDescent="0.15">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row>
    <row r="272" spans="1:40" ht="19" customHeight="1" x14ac:dyDescent="0.15">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c r="AN272" s="10"/>
    </row>
    <row r="273" spans="1:40" ht="19" customHeight="1" x14ac:dyDescent="0.15">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c r="AN273" s="10"/>
    </row>
    <row r="274" spans="1:40" ht="19" customHeight="1" x14ac:dyDescent="0.15">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c r="AN274" s="10"/>
    </row>
    <row r="275" spans="1:40" ht="19" customHeight="1" x14ac:dyDescent="0.15">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c r="AN275" s="10"/>
    </row>
    <row r="276" spans="1:40" ht="19" customHeight="1" x14ac:dyDescent="0.15">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c r="AN276" s="10"/>
    </row>
    <row r="277" spans="1:40" ht="19" customHeight="1" x14ac:dyDescent="0.15">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c r="AN277" s="10"/>
    </row>
    <row r="278" spans="1:40" ht="19" customHeight="1" x14ac:dyDescent="0.15">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c r="AN278" s="10"/>
    </row>
    <row r="279" spans="1:40" ht="19" customHeight="1" x14ac:dyDescent="0.15">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c r="AN279" s="10"/>
    </row>
    <row r="280" spans="1:40" ht="19" customHeight="1" x14ac:dyDescent="0.15">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c r="AN280" s="10"/>
    </row>
    <row r="281" spans="1:40" ht="19" customHeight="1" x14ac:dyDescent="0.15">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c r="AN281" s="10"/>
    </row>
    <row r="282" spans="1:40" ht="19" customHeight="1" x14ac:dyDescent="0.15">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c r="AN282" s="10"/>
    </row>
    <row r="283" spans="1:40" ht="19" customHeight="1" x14ac:dyDescent="0.15">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c r="AN283" s="10"/>
    </row>
    <row r="284" spans="1:40" ht="19" customHeight="1" x14ac:dyDescent="0.15">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c r="AN284" s="10"/>
    </row>
    <row r="285" spans="1:40" ht="19" customHeight="1" x14ac:dyDescent="0.15">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c r="AN285" s="10"/>
    </row>
    <row r="286" spans="1:40" ht="19" customHeight="1" x14ac:dyDescent="0.15">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c r="AN286" s="10"/>
    </row>
    <row r="287" spans="1:40" ht="19" customHeight="1" x14ac:dyDescent="0.15">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c r="AN287" s="10"/>
    </row>
    <row r="288" spans="1:40" ht="19" customHeight="1" x14ac:dyDescent="0.15">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c r="AN288" s="10"/>
    </row>
    <row r="289" spans="1:40" ht="19" customHeight="1" x14ac:dyDescent="0.15">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c r="AN289" s="10"/>
    </row>
    <row r="290" spans="1:40" ht="19" customHeight="1" x14ac:dyDescent="0.15">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c r="AN290" s="10"/>
    </row>
    <row r="291" spans="1:40" ht="19" customHeight="1" x14ac:dyDescent="0.15">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c r="AN291" s="10"/>
    </row>
    <row r="292" spans="1:40" ht="19" customHeight="1" x14ac:dyDescent="0.15">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c r="AN292" s="10"/>
    </row>
    <row r="293" spans="1:40" ht="19" customHeight="1" x14ac:dyDescent="0.15">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c r="AN293" s="10"/>
    </row>
    <row r="294" spans="1:40" ht="19" customHeight="1" x14ac:dyDescent="0.15">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c r="AN294" s="10"/>
    </row>
    <row r="295" spans="1:40" ht="19" customHeight="1" x14ac:dyDescent="0.15">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c r="AN295" s="10"/>
    </row>
    <row r="296" spans="1:40" ht="19" customHeight="1" x14ac:dyDescent="0.15">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c r="AN296" s="10"/>
    </row>
    <row r="297" spans="1:40" ht="19" customHeight="1" x14ac:dyDescent="0.15">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c r="AN297" s="10"/>
    </row>
    <row r="298" spans="1:40" ht="19" customHeight="1" x14ac:dyDescent="0.15">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c r="AN298" s="10"/>
    </row>
    <row r="299" spans="1:40" ht="19" customHeight="1" x14ac:dyDescent="0.15">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c r="AN299" s="10"/>
    </row>
    <row r="300" spans="1:40" ht="19" customHeight="1" x14ac:dyDescent="0.15">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c r="AN300" s="10"/>
    </row>
    <row r="301" spans="1:40" ht="19" customHeight="1" x14ac:dyDescent="0.15">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c r="AN301" s="10"/>
    </row>
    <row r="302" spans="1:40" ht="19" customHeight="1" x14ac:dyDescent="0.15">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c r="AN302" s="10"/>
    </row>
    <row r="303" spans="1:40" ht="19" customHeight="1" x14ac:dyDescent="0.15">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c r="AN303" s="10"/>
    </row>
    <row r="304" spans="1:40" ht="19" customHeight="1" x14ac:dyDescent="0.15">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c r="AN304" s="10"/>
    </row>
    <row r="305" spans="1:40" ht="19" customHeight="1" x14ac:dyDescent="0.15">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c r="AN305" s="10"/>
    </row>
    <row r="306" spans="1:40" ht="19" customHeight="1" x14ac:dyDescent="0.15">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c r="AN306" s="10"/>
    </row>
    <row r="307" spans="1:40" ht="19" customHeight="1" x14ac:dyDescent="0.15">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c r="AN307" s="10"/>
    </row>
    <row r="308" spans="1:40" ht="19" customHeight="1" x14ac:dyDescent="0.15">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row>
    <row r="309" spans="1:40" ht="19" customHeight="1" x14ac:dyDescent="0.15">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row>
    <row r="310" spans="1:40" ht="19" customHeight="1" x14ac:dyDescent="0.15">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c r="AN310" s="10"/>
    </row>
    <row r="311" spans="1:40" ht="19" customHeight="1" x14ac:dyDescent="0.15">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c r="AN311" s="10"/>
    </row>
    <row r="312" spans="1:40" ht="19" customHeight="1" x14ac:dyDescent="0.15">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c r="AN312" s="10"/>
    </row>
    <row r="313" spans="1:40" ht="19" customHeight="1" x14ac:dyDescent="0.15">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c r="AN313" s="10"/>
    </row>
    <row r="314" spans="1:40" ht="19" customHeight="1" x14ac:dyDescent="0.15">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c r="AN314" s="10"/>
    </row>
    <row r="315" spans="1:40" ht="19" customHeight="1" x14ac:dyDescent="0.15">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c r="AN315" s="10"/>
    </row>
    <row r="316" spans="1:40" ht="19" customHeight="1" x14ac:dyDescent="0.15">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c r="AN316" s="10"/>
    </row>
    <row r="317" spans="1:40" ht="19" customHeight="1" x14ac:dyDescent="0.15">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c r="AN317" s="10"/>
    </row>
    <row r="318" spans="1:40" ht="19" customHeight="1" x14ac:dyDescent="0.15">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c r="AN318" s="10"/>
    </row>
    <row r="319" spans="1:40" ht="19" customHeight="1" x14ac:dyDescent="0.15">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c r="AN319" s="10"/>
    </row>
    <row r="320" spans="1:40" ht="19" customHeight="1" x14ac:dyDescent="0.15">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c r="AN320" s="10"/>
    </row>
    <row r="321" spans="1:40" ht="19" customHeight="1" x14ac:dyDescent="0.15">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c r="AN321" s="10"/>
    </row>
    <row r="322" spans="1:40" ht="19" customHeight="1" x14ac:dyDescent="0.15">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c r="AN322" s="10"/>
    </row>
    <row r="323" spans="1:40" ht="19" customHeight="1" x14ac:dyDescent="0.15">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c r="AN323" s="10"/>
    </row>
    <row r="324" spans="1:40" ht="19" customHeight="1" x14ac:dyDescent="0.15">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c r="AN324" s="10"/>
    </row>
    <row r="325" spans="1:40" ht="19" customHeight="1" x14ac:dyDescent="0.15">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c r="AN325" s="10"/>
    </row>
    <row r="326" spans="1:40" ht="19" customHeight="1" x14ac:dyDescent="0.15">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c r="AN326" s="10"/>
    </row>
    <row r="327" spans="1:40" ht="19" customHeight="1" x14ac:dyDescent="0.15">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c r="AN327" s="10"/>
    </row>
    <row r="328" spans="1:40" ht="19" customHeight="1" x14ac:dyDescent="0.15">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c r="AN328" s="10"/>
    </row>
    <row r="329" spans="1:40" ht="19" customHeight="1" x14ac:dyDescent="0.15">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row>
    <row r="330" spans="1:40" ht="19" customHeight="1" x14ac:dyDescent="0.15">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c r="AN330" s="10"/>
    </row>
    <row r="331" spans="1:40" ht="19" customHeight="1" x14ac:dyDescent="0.15">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c r="AN331" s="10"/>
    </row>
    <row r="332" spans="1:40" ht="19" customHeight="1" x14ac:dyDescent="0.15">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c r="AN332" s="10"/>
    </row>
    <row r="333" spans="1:40" ht="19" customHeight="1" x14ac:dyDescent="0.15">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c r="AN333" s="10"/>
    </row>
    <row r="334" spans="1:40" ht="19" customHeight="1" x14ac:dyDescent="0.15">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c r="AN334" s="10"/>
    </row>
    <row r="335" spans="1:40" ht="19" customHeight="1" x14ac:dyDescent="0.15">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c r="AN335" s="10"/>
    </row>
    <row r="336" spans="1:40" ht="19" customHeight="1" x14ac:dyDescent="0.15">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c r="AN336" s="10"/>
    </row>
    <row r="337" spans="1:40" ht="19" customHeight="1" x14ac:dyDescent="0.15">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c r="AN337" s="10"/>
    </row>
    <row r="338" spans="1:40" ht="19" customHeight="1" x14ac:dyDescent="0.15">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c r="AN338" s="10"/>
    </row>
    <row r="339" spans="1:40" ht="19" customHeight="1" x14ac:dyDescent="0.15">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c r="AN339" s="10"/>
    </row>
    <row r="340" spans="1:40" ht="19" customHeight="1" x14ac:dyDescent="0.15">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c r="AN340" s="10"/>
    </row>
    <row r="341" spans="1:40" ht="19" customHeight="1" x14ac:dyDescent="0.15">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c r="AN341" s="10"/>
    </row>
    <row r="342" spans="1:40" ht="19" customHeight="1" x14ac:dyDescent="0.15">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c r="AN342" s="10"/>
    </row>
    <row r="343" spans="1:40" ht="19" customHeight="1" x14ac:dyDescent="0.15">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c r="AN343" s="10"/>
    </row>
    <row r="344" spans="1:40" ht="19" customHeight="1" x14ac:dyDescent="0.15">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c r="AN344" s="10"/>
    </row>
    <row r="345" spans="1:40" ht="19" customHeight="1" x14ac:dyDescent="0.15">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c r="AN345" s="10"/>
    </row>
    <row r="346" spans="1:40" ht="19" customHeight="1" x14ac:dyDescent="0.15">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c r="AN346" s="10"/>
    </row>
    <row r="347" spans="1:40" ht="19" customHeight="1" x14ac:dyDescent="0.15">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c r="AN347" s="10"/>
    </row>
    <row r="348" spans="1:40" ht="19" customHeight="1" x14ac:dyDescent="0.15">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c r="AN348" s="10"/>
    </row>
    <row r="349" spans="1:40" ht="19" customHeight="1" x14ac:dyDescent="0.15">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c r="AN349" s="10"/>
    </row>
    <row r="350" spans="1:40" ht="19" customHeight="1" x14ac:dyDescent="0.15">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c r="AN350" s="10"/>
    </row>
    <row r="351" spans="1:40" ht="19" customHeight="1" x14ac:dyDescent="0.15">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c r="AN351" s="10"/>
    </row>
    <row r="352" spans="1:40" ht="19" customHeight="1" x14ac:dyDescent="0.15">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c r="AN352" s="10"/>
    </row>
    <row r="353" spans="1:40" ht="19" customHeight="1" x14ac:dyDescent="0.15">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c r="AN353" s="10"/>
    </row>
    <row r="354" spans="1:40" ht="19" customHeight="1" x14ac:dyDescent="0.15">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c r="AN354" s="10"/>
    </row>
    <row r="355" spans="1:40" ht="19" customHeight="1" x14ac:dyDescent="0.15">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c r="AN355" s="10"/>
    </row>
    <row r="356" spans="1:40" ht="19" customHeight="1" x14ac:dyDescent="0.15">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c r="AN356" s="10"/>
    </row>
    <row r="357" spans="1:40" ht="19" customHeight="1" x14ac:dyDescent="0.15">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c r="AN357" s="10"/>
    </row>
    <row r="358" spans="1:40" ht="19" customHeight="1" x14ac:dyDescent="0.15">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c r="AN358" s="10"/>
    </row>
    <row r="359" spans="1:40" ht="19" customHeight="1" x14ac:dyDescent="0.15">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c r="AN359" s="10"/>
    </row>
    <row r="360" spans="1:40" ht="19" customHeight="1" x14ac:dyDescent="0.15">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c r="AN360" s="10"/>
    </row>
    <row r="361" spans="1:40" ht="19" customHeight="1" x14ac:dyDescent="0.15">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c r="AN361" s="10"/>
    </row>
    <row r="362" spans="1:40" ht="19" customHeight="1" x14ac:dyDescent="0.15">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c r="AN362" s="10"/>
    </row>
    <row r="363" spans="1:40" ht="19" customHeight="1" x14ac:dyDescent="0.15">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c r="AN363" s="10"/>
    </row>
    <row r="364" spans="1:40" ht="19" customHeight="1" x14ac:dyDescent="0.15">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c r="AN364" s="10"/>
    </row>
    <row r="365" spans="1:40" ht="19" customHeight="1" x14ac:dyDescent="0.15">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c r="AN365" s="10"/>
    </row>
    <row r="366" spans="1:40" ht="19" customHeight="1" x14ac:dyDescent="0.15">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c r="AN366" s="10"/>
    </row>
    <row r="367" spans="1:40" ht="19" customHeight="1" x14ac:dyDescent="0.15">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c r="AN367" s="10"/>
    </row>
    <row r="368" spans="1:40" ht="19" customHeight="1" x14ac:dyDescent="0.15">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c r="AN368" s="10"/>
    </row>
    <row r="369" spans="1:40" ht="19" customHeight="1" x14ac:dyDescent="0.15">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c r="AN369" s="10"/>
    </row>
    <row r="370" spans="1:40" ht="19" customHeight="1" x14ac:dyDescent="0.15">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c r="AN370" s="10"/>
    </row>
    <row r="371" spans="1:40" ht="19" customHeight="1" x14ac:dyDescent="0.15">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c r="AN371" s="10"/>
    </row>
    <row r="372" spans="1:40" ht="19" customHeight="1" x14ac:dyDescent="0.15">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c r="AN372" s="10"/>
    </row>
    <row r="373" spans="1:40" ht="19" customHeight="1" x14ac:dyDescent="0.15">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c r="AN373" s="10"/>
    </row>
    <row r="374" spans="1:40" ht="19" customHeight="1" x14ac:dyDescent="0.15">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c r="AN374" s="10"/>
    </row>
    <row r="375" spans="1:40" ht="19" customHeight="1" x14ac:dyDescent="0.15">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row>
    <row r="376" spans="1:40" ht="19" customHeight="1" x14ac:dyDescent="0.15">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c r="AN376" s="10"/>
    </row>
    <row r="377" spans="1:40" ht="19" customHeight="1" x14ac:dyDescent="0.15">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row>
    <row r="378" spans="1:40" ht="19" customHeight="1" x14ac:dyDescent="0.15">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c r="AN378" s="10"/>
    </row>
    <row r="379" spans="1:40" ht="19" customHeight="1" x14ac:dyDescent="0.15">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c r="AN379" s="10"/>
    </row>
    <row r="380" spans="1:40" ht="19" customHeight="1" x14ac:dyDescent="0.15">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c r="AN380" s="10"/>
    </row>
    <row r="381" spans="1:40" ht="19" customHeight="1" x14ac:dyDescent="0.15">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c r="AN381" s="10"/>
    </row>
    <row r="382" spans="1:40" ht="19" customHeight="1" x14ac:dyDescent="0.15">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c r="AN382" s="10"/>
    </row>
    <row r="383" spans="1:40" ht="19" customHeight="1" x14ac:dyDescent="0.15">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c r="AN383" s="10"/>
    </row>
    <row r="384" spans="1:40" ht="19" customHeight="1" x14ac:dyDescent="0.15">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c r="AN384" s="10"/>
    </row>
    <row r="385" spans="1:40" ht="19" customHeight="1" x14ac:dyDescent="0.15">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c r="AN385" s="10"/>
    </row>
    <row r="386" spans="1:40" ht="19" customHeight="1" x14ac:dyDescent="0.15">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c r="AN386" s="10"/>
    </row>
    <row r="387" spans="1:40" ht="19" customHeight="1" x14ac:dyDescent="0.15">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c r="AN387" s="10"/>
    </row>
    <row r="388" spans="1:40" ht="19" customHeight="1" x14ac:dyDescent="0.15">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c r="AN388" s="10"/>
    </row>
    <row r="389" spans="1:40" ht="19" customHeight="1" x14ac:dyDescent="0.15">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c r="AN389" s="10"/>
    </row>
    <row r="390" spans="1:40" ht="19" customHeight="1" x14ac:dyDescent="0.15">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c r="AN390" s="10"/>
    </row>
    <row r="391" spans="1:40" ht="19" customHeight="1" x14ac:dyDescent="0.15">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c r="AN391" s="10"/>
    </row>
    <row r="392" spans="1:40" ht="19" customHeight="1" x14ac:dyDescent="0.15">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c r="AN392" s="10"/>
    </row>
    <row r="393" spans="1:40" ht="19" customHeight="1" x14ac:dyDescent="0.15">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c r="AN393" s="10"/>
    </row>
    <row r="394" spans="1:40" ht="19" customHeight="1" x14ac:dyDescent="0.15">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c r="AN394" s="10"/>
    </row>
    <row r="395" spans="1:40" ht="19" customHeight="1" x14ac:dyDescent="0.15">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c r="AN395" s="10"/>
    </row>
    <row r="396" spans="1:40" ht="19" customHeight="1" x14ac:dyDescent="0.15">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c r="AN396" s="10"/>
    </row>
    <row r="397" spans="1:40" ht="19" customHeight="1" x14ac:dyDescent="0.15">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c r="AN397" s="10"/>
    </row>
    <row r="398" spans="1:40" ht="19" customHeight="1" x14ac:dyDescent="0.15">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c r="AN398" s="10"/>
    </row>
    <row r="399" spans="1:40" ht="19" customHeight="1" x14ac:dyDescent="0.15">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c r="AN399" s="10"/>
    </row>
    <row r="400" spans="1:40" ht="19" customHeight="1" x14ac:dyDescent="0.15">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c r="AN400" s="10"/>
    </row>
    <row r="401" spans="1:40" ht="19" customHeight="1" x14ac:dyDescent="0.15">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c r="AN401" s="10"/>
    </row>
    <row r="402" spans="1:40" ht="19" customHeight="1" x14ac:dyDescent="0.15">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c r="AN402" s="10"/>
    </row>
    <row r="403" spans="1:40" ht="19" customHeight="1" x14ac:dyDescent="0.15">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c r="AN403" s="10"/>
    </row>
    <row r="404" spans="1:40" ht="19" customHeight="1" x14ac:dyDescent="0.15">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c r="AN404" s="10"/>
    </row>
    <row r="405" spans="1:40" ht="19" customHeight="1" x14ac:dyDescent="0.15">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c r="AN405" s="10"/>
    </row>
    <row r="406" spans="1:40" ht="19" customHeight="1" x14ac:dyDescent="0.15">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c r="AN406" s="10"/>
    </row>
    <row r="407" spans="1:40" ht="19" customHeight="1" x14ac:dyDescent="0.15">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c r="AN407" s="10"/>
    </row>
    <row r="408" spans="1:40" ht="19" customHeight="1" x14ac:dyDescent="0.15">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c r="AN408" s="10"/>
    </row>
    <row r="409" spans="1:40" ht="19" customHeight="1" x14ac:dyDescent="0.15">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row>
    <row r="410" spans="1:40" ht="19" customHeight="1" x14ac:dyDescent="0.15">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row>
    <row r="411" spans="1:40" ht="19" customHeight="1" x14ac:dyDescent="0.15">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c r="AN411" s="10"/>
    </row>
    <row r="412" spans="1:40" ht="19" customHeight="1" x14ac:dyDescent="0.15">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c r="AN412" s="10"/>
    </row>
    <row r="413" spans="1:40" ht="19" customHeight="1" x14ac:dyDescent="0.15">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c r="AN413" s="10"/>
    </row>
    <row r="414" spans="1:40" ht="19" customHeight="1" x14ac:dyDescent="0.15">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c r="AN414" s="10"/>
    </row>
    <row r="415" spans="1:40" ht="19" customHeight="1" x14ac:dyDescent="0.15">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c r="AN415" s="10"/>
    </row>
    <row r="416" spans="1:40" ht="19" customHeight="1" x14ac:dyDescent="0.15">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c r="AN416" s="10"/>
    </row>
    <row r="417" spans="1:40" ht="19" customHeight="1" x14ac:dyDescent="0.15">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c r="AN417" s="10"/>
    </row>
    <row r="418" spans="1:40" ht="19" customHeight="1" x14ac:dyDescent="0.15">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c r="AN418" s="10"/>
    </row>
    <row r="419" spans="1:40" ht="19" customHeight="1" x14ac:dyDescent="0.15">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c r="AN419" s="10"/>
    </row>
    <row r="420" spans="1:40" ht="19" customHeight="1" x14ac:dyDescent="0.15">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c r="AN420" s="10"/>
    </row>
    <row r="421" spans="1:40" ht="19" customHeight="1" x14ac:dyDescent="0.15">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c r="AN421" s="10"/>
    </row>
    <row r="422" spans="1:40" ht="19" customHeight="1" x14ac:dyDescent="0.15">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row>
    <row r="423" spans="1:40" ht="19" customHeight="1" x14ac:dyDescent="0.15">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row>
    <row r="424" spans="1:40" ht="19" customHeight="1" x14ac:dyDescent="0.15">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c r="AN424" s="10"/>
    </row>
    <row r="425" spans="1:40" ht="19" customHeight="1" x14ac:dyDescent="0.15">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c r="AN425" s="10"/>
    </row>
    <row r="426" spans="1:40" ht="19" customHeight="1" x14ac:dyDescent="0.15">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c r="AN426" s="10"/>
    </row>
    <row r="427" spans="1:40" ht="19" customHeight="1" x14ac:dyDescent="0.15">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c r="AN427" s="10"/>
    </row>
    <row r="428" spans="1:40" ht="19" customHeight="1" x14ac:dyDescent="0.15">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c r="AN428" s="10"/>
    </row>
    <row r="429" spans="1:40" ht="19" customHeight="1" x14ac:dyDescent="0.15">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c r="AN429" s="10"/>
    </row>
    <row r="430" spans="1:40" ht="19" customHeight="1" x14ac:dyDescent="0.15">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c r="AN430" s="10"/>
    </row>
    <row r="431" spans="1:40" ht="19" customHeight="1" x14ac:dyDescent="0.15">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c r="AN431" s="10"/>
    </row>
    <row r="432" spans="1:40" ht="19" customHeight="1" x14ac:dyDescent="0.15">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c r="AN432" s="10"/>
    </row>
    <row r="433" spans="1:40" ht="19" customHeight="1" x14ac:dyDescent="0.15">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c r="AN433" s="10"/>
    </row>
    <row r="434" spans="1:40" ht="19" customHeight="1" x14ac:dyDescent="0.15">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c r="AN434" s="10"/>
    </row>
    <row r="435" spans="1:40" ht="19" customHeight="1" x14ac:dyDescent="0.15">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c r="AN435" s="10"/>
    </row>
    <row r="436" spans="1:40" ht="19" customHeight="1" x14ac:dyDescent="0.15">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c r="AN436" s="10"/>
    </row>
    <row r="437" spans="1:40" ht="19" customHeight="1" x14ac:dyDescent="0.15">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c r="AN437" s="10"/>
    </row>
    <row r="438" spans="1:40" ht="19" customHeight="1" x14ac:dyDescent="0.15">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c r="AN438" s="10"/>
    </row>
    <row r="439" spans="1:40" ht="19" customHeight="1" x14ac:dyDescent="0.15">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c r="AN439" s="10"/>
    </row>
    <row r="440" spans="1:40" ht="19" customHeight="1" x14ac:dyDescent="0.15">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c r="AN440" s="10"/>
    </row>
    <row r="441" spans="1:40" ht="19" customHeight="1" x14ac:dyDescent="0.15">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row>
    <row r="442" spans="1:40" ht="19" customHeight="1" x14ac:dyDescent="0.15">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c r="AN442" s="10"/>
    </row>
    <row r="443" spans="1:40" ht="19" customHeight="1" x14ac:dyDescent="0.15">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c r="AN443" s="10"/>
    </row>
    <row r="444" spans="1:40" ht="19" customHeight="1" x14ac:dyDescent="0.15">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c r="AN444" s="10"/>
    </row>
    <row r="445" spans="1:40" ht="19" customHeight="1" x14ac:dyDescent="0.15">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c r="AN445" s="10"/>
    </row>
    <row r="446" spans="1:40" ht="19" customHeight="1" x14ac:dyDescent="0.15">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c r="AN446" s="10"/>
    </row>
    <row r="447" spans="1:40" ht="19" customHeight="1" x14ac:dyDescent="0.15">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c r="AN447" s="10"/>
    </row>
    <row r="448" spans="1:40" ht="19" customHeight="1" x14ac:dyDescent="0.15">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c r="AN448" s="10"/>
    </row>
    <row r="449" spans="1:40" ht="19" customHeight="1" x14ac:dyDescent="0.15">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c r="AN449" s="10"/>
    </row>
    <row r="450" spans="1:40" ht="19" customHeight="1" x14ac:dyDescent="0.15">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c r="AN450" s="10"/>
    </row>
    <row r="451" spans="1:40" ht="19" customHeight="1" x14ac:dyDescent="0.15">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c r="AN451" s="10"/>
    </row>
    <row r="452" spans="1:40" ht="19" customHeight="1" x14ac:dyDescent="0.15">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c r="AN452" s="10"/>
    </row>
    <row r="453" spans="1:40" ht="19" customHeight="1" x14ac:dyDescent="0.15">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c r="AN453" s="10"/>
    </row>
    <row r="454" spans="1:40" ht="19" customHeight="1" x14ac:dyDescent="0.15">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c r="AN454" s="10"/>
    </row>
    <row r="455" spans="1:40" ht="19" customHeight="1" x14ac:dyDescent="0.15">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c r="AN455" s="10"/>
    </row>
    <row r="456" spans="1:40" ht="19" customHeight="1" x14ac:dyDescent="0.15">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c r="AN456" s="10"/>
    </row>
    <row r="457" spans="1:40" ht="19" customHeight="1" x14ac:dyDescent="0.15">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c r="AN457" s="10"/>
    </row>
    <row r="458" spans="1:40" ht="19" customHeight="1" x14ac:dyDescent="0.15">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c r="AN458" s="10"/>
    </row>
    <row r="459" spans="1:40" ht="19" customHeight="1" x14ac:dyDescent="0.15">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c r="AN459" s="10"/>
    </row>
    <row r="460" spans="1:40" ht="19" customHeight="1" x14ac:dyDescent="0.15">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c r="AN460" s="10"/>
    </row>
    <row r="461" spans="1:40" ht="19" customHeight="1" x14ac:dyDescent="0.15">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c r="AN461" s="10"/>
    </row>
    <row r="462" spans="1:40" ht="19" customHeight="1" x14ac:dyDescent="0.15">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c r="AN462" s="10"/>
    </row>
    <row r="463" spans="1:40" ht="19" customHeight="1" x14ac:dyDescent="0.15">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c r="AN463" s="10"/>
    </row>
    <row r="464" spans="1:40" ht="19" customHeight="1" x14ac:dyDescent="0.15">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c r="AN464" s="10"/>
    </row>
    <row r="465" spans="1:40" ht="19" customHeight="1" x14ac:dyDescent="0.15">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c r="AN465" s="10"/>
    </row>
    <row r="466" spans="1:40" ht="19" customHeight="1" x14ac:dyDescent="0.15">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c r="AN466" s="10"/>
    </row>
    <row r="467" spans="1:40" ht="19" customHeight="1" x14ac:dyDescent="0.15">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c r="AN467" s="10"/>
    </row>
    <row r="468" spans="1:40" ht="19" customHeight="1" x14ac:dyDescent="0.15">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c r="AN468" s="10"/>
    </row>
    <row r="469" spans="1:40" ht="19" customHeight="1" x14ac:dyDescent="0.15">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c r="AN469" s="10"/>
    </row>
    <row r="470" spans="1:40" ht="19" customHeight="1" x14ac:dyDescent="0.15">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c r="AN470" s="10"/>
    </row>
    <row r="471" spans="1:40" ht="19" customHeight="1" x14ac:dyDescent="0.15">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c r="AN471" s="10"/>
    </row>
    <row r="472" spans="1:40" ht="19" customHeight="1" x14ac:dyDescent="0.15">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c r="AN472" s="10"/>
    </row>
    <row r="473" spans="1:40" ht="19" customHeight="1" x14ac:dyDescent="0.15">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c r="AN473" s="10"/>
    </row>
    <row r="474" spans="1:40" ht="19" customHeight="1" x14ac:dyDescent="0.15">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c r="AN474" s="10"/>
    </row>
    <row r="475" spans="1:40" ht="19" customHeight="1" x14ac:dyDescent="0.15">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c r="AN475" s="10"/>
    </row>
    <row r="476" spans="1:40" ht="19" customHeight="1" x14ac:dyDescent="0.15">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c r="AN476" s="10"/>
    </row>
    <row r="477" spans="1:40" ht="19" customHeight="1" x14ac:dyDescent="0.15">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c r="AN477" s="10"/>
    </row>
    <row r="478" spans="1:40" ht="19" customHeight="1" x14ac:dyDescent="0.15">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c r="AN478" s="10"/>
    </row>
    <row r="479" spans="1:40" ht="19" customHeight="1" x14ac:dyDescent="0.15">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c r="AN479" s="10"/>
    </row>
    <row r="480" spans="1:40" ht="19" customHeight="1" x14ac:dyDescent="0.15">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c r="AN480" s="10"/>
    </row>
    <row r="481" spans="1:40" ht="19" customHeight="1" x14ac:dyDescent="0.15">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c r="AN481" s="10"/>
    </row>
    <row r="482" spans="1:40" ht="19" customHeight="1" x14ac:dyDescent="0.15">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c r="AN482" s="10"/>
    </row>
    <row r="483" spans="1:40" ht="19" customHeight="1" x14ac:dyDescent="0.15">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c r="AN483" s="10"/>
    </row>
    <row r="484" spans="1:40" ht="19" customHeight="1" x14ac:dyDescent="0.15">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c r="AN484" s="10"/>
    </row>
    <row r="485" spans="1:40" ht="19" customHeight="1" x14ac:dyDescent="0.15">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c r="AN485" s="10"/>
    </row>
    <row r="486" spans="1:40" ht="19" customHeight="1" x14ac:dyDescent="0.15">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c r="AN486" s="10"/>
    </row>
    <row r="487" spans="1:40" ht="19" customHeight="1" x14ac:dyDescent="0.15">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row r="488" spans="1:40" ht="19" customHeight="1" x14ac:dyDescent="0.15">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c r="AN488" s="10"/>
    </row>
    <row r="489" spans="1:40" ht="19" customHeight="1" x14ac:dyDescent="0.15">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c r="AN489" s="10"/>
    </row>
    <row r="490" spans="1:40" ht="19" customHeight="1" x14ac:dyDescent="0.15">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row>
    <row r="491" spans="1:40" ht="19" customHeight="1" x14ac:dyDescent="0.15">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c r="AN491" s="10"/>
    </row>
    <row r="492" spans="1:40" ht="19" customHeight="1" x14ac:dyDescent="0.15">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c r="AN492" s="10"/>
    </row>
    <row r="493" spans="1:40" ht="19" customHeight="1" x14ac:dyDescent="0.15">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c r="AN493" s="10"/>
    </row>
    <row r="494" spans="1:40" ht="19" customHeight="1" x14ac:dyDescent="0.15">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c r="AN494" s="10"/>
    </row>
    <row r="495" spans="1:40" ht="19" customHeight="1" x14ac:dyDescent="0.15">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c r="AN495" s="10"/>
    </row>
    <row r="496" spans="1:40" ht="19" customHeight="1" x14ac:dyDescent="0.15">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c r="AN496" s="10"/>
    </row>
    <row r="497" spans="1:40" ht="19" customHeight="1" x14ac:dyDescent="0.15">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c r="AN497" s="10"/>
    </row>
    <row r="498" spans="1:40" ht="19" customHeight="1" x14ac:dyDescent="0.15">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c r="AN498" s="10"/>
    </row>
    <row r="499" spans="1:40" ht="19" customHeight="1" x14ac:dyDescent="0.15">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c r="AN499" s="10"/>
    </row>
    <row r="500" spans="1:40" ht="19" customHeight="1" x14ac:dyDescent="0.15">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c r="AN500" s="10"/>
    </row>
    <row r="501" spans="1:40" ht="19" customHeight="1" x14ac:dyDescent="0.15">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c r="AN501" s="10"/>
    </row>
    <row r="502" spans="1:40" ht="19" customHeight="1" x14ac:dyDescent="0.15">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c r="AN502" s="10"/>
    </row>
    <row r="503" spans="1:40" ht="19" customHeight="1" x14ac:dyDescent="0.15">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c r="AN503" s="10"/>
    </row>
    <row r="504" spans="1:40" ht="19" customHeight="1" x14ac:dyDescent="0.15">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c r="AN504" s="10"/>
    </row>
    <row r="505" spans="1:40" ht="19" customHeight="1" x14ac:dyDescent="0.15">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c r="AN505" s="10"/>
    </row>
    <row r="506" spans="1:40" ht="19" customHeight="1" x14ac:dyDescent="0.15">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c r="AN506" s="10"/>
    </row>
    <row r="507" spans="1:40" ht="19" customHeight="1" x14ac:dyDescent="0.15">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c r="AN507" s="10"/>
    </row>
    <row r="508" spans="1:40" ht="19" customHeight="1" x14ac:dyDescent="0.15">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c r="AN508" s="10"/>
    </row>
    <row r="509" spans="1:40" ht="19" customHeight="1" x14ac:dyDescent="0.15">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c r="AN509" s="10"/>
    </row>
    <row r="510" spans="1:40" ht="19" customHeight="1" x14ac:dyDescent="0.15">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c r="AN510" s="10"/>
    </row>
    <row r="511" spans="1:40" ht="19" customHeight="1" x14ac:dyDescent="0.15">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c r="AN511" s="10"/>
    </row>
    <row r="512" spans="1:40" ht="19" customHeight="1" x14ac:dyDescent="0.15">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c r="AN512" s="10"/>
    </row>
    <row r="513" spans="1:40" ht="19" customHeight="1" x14ac:dyDescent="0.15">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c r="AN513" s="10"/>
    </row>
    <row r="514" spans="1:40" ht="19" customHeight="1" x14ac:dyDescent="0.15">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c r="AN514" s="10"/>
    </row>
    <row r="515" spans="1:40" ht="19" customHeight="1" x14ac:dyDescent="0.15">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c r="AN515" s="10"/>
    </row>
    <row r="516" spans="1:40" ht="19" customHeight="1" x14ac:dyDescent="0.15">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c r="AN516" s="10"/>
    </row>
    <row r="517" spans="1:40" ht="19" customHeight="1" x14ac:dyDescent="0.15">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c r="AN517" s="10"/>
    </row>
    <row r="518" spans="1:40" ht="19" customHeight="1" x14ac:dyDescent="0.15">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c r="AN518" s="10"/>
    </row>
    <row r="519" spans="1:40" ht="19" customHeight="1" x14ac:dyDescent="0.15">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c r="AN519" s="10"/>
    </row>
    <row r="520" spans="1:40" ht="19" customHeight="1" x14ac:dyDescent="0.15">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c r="AN520" s="10"/>
    </row>
    <row r="521" spans="1:40" ht="19" customHeight="1" x14ac:dyDescent="0.15">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c r="AM521" s="10"/>
      <c r="AN521" s="10"/>
    </row>
    <row r="522" spans="1:40" ht="19" customHeight="1" x14ac:dyDescent="0.15">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c r="AI522" s="10"/>
      <c r="AJ522" s="10"/>
      <c r="AK522" s="10"/>
      <c r="AL522" s="10"/>
      <c r="AM522" s="10"/>
      <c r="AN522" s="10"/>
    </row>
    <row r="523" spans="1:40" ht="19" customHeight="1" x14ac:dyDescent="0.15">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c r="AI523" s="10"/>
      <c r="AJ523" s="10"/>
      <c r="AK523" s="10"/>
      <c r="AL523" s="10"/>
      <c r="AM523" s="10"/>
      <c r="AN523" s="10"/>
    </row>
    <row r="524" spans="1:40" ht="19" customHeight="1" x14ac:dyDescent="0.15">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c r="AI524" s="10"/>
      <c r="AJ524" s="10"/>
      <c r="AK524" s="10"/>
      <c r="AL524" s="10"/>
      <c r="AM524" s="10"/>
      <c r="AN524" s="10"/>
    </row>
    <row r="525" spans="1:40" ht="19" customHeight="1" x14ac:dyDescent="0.15">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c r="AI525" s="10"/>
      <c r="AJ525" s="10"/>
      <c r="AK525" s="10"/>
      <c r="AL525" s="10"/>
      <c r="AM525" s="10"/>
      <c r="AN525" s="10"/>
    </row>
    <row r="526" spans="1:40" ht="19" customHeight="1" x14ac:dyDescent="0.15">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c r="AI526" s="10"/>
      <c r="AJ526" s="10"/>
      <c r="AK526" s="10"/>
      <c r="AL526" s="10"/>
      <c r="AM526" s="10"/>
      <c r="AN526" s="10"/>
    </row>
    <row r="527" spans="1:40" ht="19" customHeight="1" x14ac:dyDescent="0.15">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c r="AI527" s="10"/>
      <c r="AJ527" s="10"/>
      <c r="AK527" s="10"/>
      <c r="AL527" s="10"/>
      <c r="AM527" s="10"/>
      <c r="AN527" s="10"/>
    </row>
    <row r="528" spans="1:40" ht="19" customHeight="1" x14ac:dyDescent="0.15">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c r="AI528" s="10"/>
      <c r="AJ528" s="10"/>
      <c r="AK528" s="10"/>
      <c r="AL528" s="10"/>
      <c r="AM528" s="10"/>
      <c r="AN528" s="10"/>
    </row>
    <row r="529" spans="1:40" ht="19" customHeight="1" x14ac:dyDescent="0.15">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c r="AI529" s="10"/>
      <c r="AJ529" s="10"/>
      <c r="AK529" s="10"/>
      <c r="AL529" s="10"/>
      <c r="AM529" s="10"/>
      <c r="AN529" s="10"/>
    </row>
    <row r="530" spans="1:40" ht="19" customHeight="1" x14ac:dyDescent="0.15">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c r="AI530" s="10"/>
      <c r="AJ530" s="10"/>
      <c r="AK530" s="10"/>
      <c r="AL530" s="10"/>
      <c r="AM530" s="10"/>
      <c r="AN530" s="10"/>
    </row>
    <row r="531" spans="1:40" ht="19" customHeight="1" x14ac:dyDescent="0.15">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c r="AI531" s="10"/>
      <c r="AJ531" s="10"/>
      <c r="AK531" s="10"/>
      <c r="AL531" s="10"/>
      <c r="AM531" s="10"/>
      <c r="AN531" s="10"/>
    </row>
    <row r="532" spans="1:40" ht="19" customHeight="1" x14ac:dyDescent="0.15">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c r="AI532" s="10"/>
      <c r="AJ532" s="10"/>
      <c r="AK532" s="10"/>
      <c r="AL532" s="10"/>
      <c r="AM532" s="10"/>
      <c r="AN532" s="10"/>
    </row>
    <row r="533" spans="1:40" ht="19" customHeight="1" x14ac:dyDescent="0.15">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c r="AI533" s="10"/>
      <c r="AJ533" s="10"/>
      <c r="AK533" s="10"/>
      <c r="AL533" s="10"/>
      <c r="AM533" s="10"/>
      <c r="AN533" s="10"/>
    </row>
    <row r="534" spans="1:40" ht="19" customHeight="1" x14ac:dyDescent="0.15">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c r="AI534" s="10"/>
      <c r="AJ534" s="10"/>
      <c r="AK534" s="10"/>
      <c r="AL534" s="10"/>
      <c r="AM534" s="10"/>
      <c r="AN534" s="10"/>
    </row>
    <row r="535" spans="1:40" ht="19" customHeight="1" x14ac:dyDescent="0.15">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c r="AI535" s="10"/>
      <c r="AJ535" s="10"/>
      <c r="AK535" s="10"/>
      <c r="AL535" s="10"/>
      <c r="AM535" s="10"/>
      <c r="AN535" s="10"/>
    </row>
    <row r="536" spans="1:40" ht="19" customHeight="1" x14ac:dyDescent="0.15">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c r="AI536" s="10"/>
      <c r="AJ536" s="10"/>
      <c r="AK536" s="10"/>
      <c r="AL536" s="10"/>
      <c r="AM536" s="10"/>
      <c r="AN536" s="10"/>
    </row>
    <row r="537" spans="1:40" ht="19" customHeight="1" x14ac:dyDescent="0.15">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c r="AI537" s="10"/>
      <c r="AJ537" s="10"/>
      <c r="AK537" s="10"/>
      <c r="AL537" s="10"/>
      <c r="AM537" s="10"/>
      <c r="AN537" s="10"/>
    </row>
    <row r="538" spans="1:40" ht="19" customHeight="1" x14ac:dyDescent="0.15">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c r="AI538" s="10"/>
      <c r="AJ538" s="10"/>
      <c r="AK538" s="10"/>
      <c r="AL538" s="10"/>
      <c r="AM538" s="10"/>
      <c r="AN538" s="10"/>
    </row>
    <row r="539" spans="1:40" ht="19" customHeight="1" x14ac:dyDescent="0.15">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c r="AI539" s="10"/>
      <c r="AJ539" s="10"/>
      <c r="AK539" s="10"/>
      <c r="AL539" s="10"/>
      <c r="AM539" s="10"/>
      <c r="AN539" s="10"/>
    </row>
    <row r="540" spans="1:40" ht="19" customHeight="1" x14ac:dyDescent="0.15">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c r="AI540" s="10"/>
      <c r="AJ540" s="10"/>
      <c r="AK540" s="10"/>
      <c r="AL540" s="10"/>
      <c r="AM540" s="10"/>
      <c r="AN540" s="10"/>
    </row>
    <row r="541" spans="1:40" ht="19" customHeight="1" x14ac:dyDescent="0.15">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c r="AI541" s="10"/>
      <c r="AJ541" s="10"/>
      <c r="AK541" s="10"/>
      <c r="AL541" s="10"/>
      <c r="AM541" s="10"/>
      <c r="AN541" s="10"/>
    </row>
    <row r="542" spans="1:40" ht="19" customHeight="1" x14ac:dyDescent="0.15">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c r="AI542" s="10"/>
      <c r="AJ542" s="10"/>
      <c r="AK542" s="10"/>
      <c r="AL542" s="10"/>
      <c r="AM542" s="10"/>
      <c r="AN542" s="10"/>
    </row>
    <row r="543" spans="1:40" ht="19" customHeight="1" x14ac:dyDescent="0.15">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c r="AI543" s="10"/>
      <c r="AJ543" s="10"/>
      <c r="AK543" s="10"/>
      <c r="AL543" s="10"/>
      <c r="AM543" s="10"/>
      <c r="AN543" s="10"/>
    </row>
    <row r="544" spans="1:40" ht="19" customHeight="1" x14ac:dyDescent="0.15">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c r="AI544" s="10"/>
      <c r="AJ544" s="10"/>
      <c r="AK544" s="10"/>
      <c r="AL544" s="10"/>
      <c r="AM544" s="10"/>
      <c r="AN544" s="10"/>
    </row>
    <row r="545" spans="1:40" ht="19" customHeight="1" x14ac:dyDescent="0.15">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c r="AI545" s="10"/>
      <c r="AJ545" s="10"/>
      <c r="AK545" s="10"/>
      <c r="AL545" s="10"/>
      <c r="AM545" s="10"/>
      <c r="AN545" s="10"/>
    </row>
    <row r="546" spans="1:40" ht="19" customHeight="1" x14ac:dyDescent="0.15">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c r="AI546" s="10"/>
      <c r="AJ546" s="10"/>
      <c r="AK546" s="10"/>
      <c r="AL546" s="10"/>
      <c r="AM546" s="10"/>
      <c r="AN546" s="10"/>
    </row>
    <row r="547" spans="1:40" ht="19" customHeight="1" x14ac:dyDescent="0.15">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c r="AI547" s="10"/>
      <c r="AJ547" s="10"/>
      <c r="AK547" s="10"/>
      <c r="AL547" s="10"/>
      <c r="AM547" s="10"/>
      <c r="AN547" s="10"/>
    </row>
    <row r="548" spans="1:40" ht="19" customHeight="1" x14ac:dyDescent="0.15">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c r="AI548" s="10"/>
      <c r="AJ548" s="10"/>
      <c r="AK548" s="10"/>
      <c r="AL548" s="10"/>
      <c r="AM548" s="10"/>
      <c r="AN548" s="10"/>
    </row>
    <row r="549" spans="1:40" ht="19" customHeight="1" x14ac:dyDescent="0.15">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c r="AI549" s="10"/>
      <c r="AJ549" s="10"/>
      <c r="AK549" s="10"/>
      <c r="AL549" s="10"/>
      <c r="AM549" s="10"/>
      <c r="AN549" s="10"/>
    </row>
    <row r="550" spans="1:40" ht="19" customHeight="1" x14ac:dyDescent="0.15">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c r="AI550" s="10"/>
      <c r="AJ550" s="10"/>
      <c r="AK550" s="10"/>
      <c r="AL550" s="10"/>
      <c r="AM550" s="10"/>
      <c r="AN550" s="10"/>
    </row>
    <row r="551" spans="1:40" ht="19" customHeight="1" x14ac:dyDescent="0.15">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c r="AM551" s="10"/>
      <c r="AN551" s="10"/>
    </row>
    <row r="552" spans="1:40" ht="19" customHeight="1" x14ac:dyDescent="0.15">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c r="AM552" s="10"/>
      <c r="AN552" s="10"/>
    </row>
    <row r="553" spans="1:40" ht="19" customHeight="1" x14ac:dyDescent="0.15">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c r="AM553" s="10"/>
      <c r="AN553" s="10"/>
    </row>
    <row r="554" spans="1:40" ht="19" customHeight="1" x14ac:dyDescent="0.15">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c r="AM554" s="10"/>
      <c r="AN554" s="10"/>
    </row>
    <row r="555" spans="1:40" ht="19" customHeight="1" x14ac:dyDescent="0.15">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c r="AM555" s="10"/>
      <c r="AN555" s="10"/>
    </row>
    <row r="556" spans="1:40" ht="19" customHeight="1" x14ac:dyDescent="0.15">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c r="AM556" s="10"/>
      <c r="AN556" s="10"/>
    </row>
    <row r="557" spans="1:40" ht="19" customHeight="1" x14ac:dyDescent="0.15">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c r="AM557" s="10"/>
      <c r="AN557" s="10"/>
    </row>
    <row r="558" spans="1:40" ht="19" customHeight="1" x14ac:dyDescent="0.15">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c r="AM558" s="10"/>
      <c r="AN558" s="10"/>
    </row>
    <row r="559" spans="1:40" ht="19" customHeight="1" x14ac:dyDescent="0.15">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c r="AN559" s="10"/>
    </row>
    <row r="560" spans="1:40" ht="19" customHeight="1" x14ac:dyDescent="0.15">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c r="AM560" s="10"/>
      <c r="AN560" s="10"/>
    </row>
    <row r="561" spans="1:40" ht="19" customHeight="1" x14ac:dyDescent="0.15">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c r="AI561" s="10"/>
      <c r="AJ561" s="10"/>
      <c r="AK561" s="10"/>
      <c r="AL561" s="10"/>
      <c r="AM561" s="10"/>
      <c r="AN561" s="10"/>
    </row>
    <row r="562" spans="1:40" ht="19" customHeight="1" x14ac:dyDescent="0.15">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c r="AI562" s="10"/>
      <c r="AJ562" s="10"/>
      <c r="AK562" s="10"/>
      <c r="AL562" s="10"/>
      <c r="AM562" s="10"/>
      <c r="AN562" s="10"/>
    </row>
    <row r="563" spans="1:40" ht="19" customHeight="1" x14ac:dyDescent="0.15">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c r="AI563" s="10"/>
      <c r="AJ563" s="10"/>
      <c r="AK563" s="10"/>
      <c r="AL563" s="10"/>
      <c r="AM563" s="10"/>
      <c r="AN563" s="10"/>
    </row>
    <row r="564" spans="1:40" ht="19" customHeight="1" x14ac:dyDescent="0.15">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c r="AI564" s="10"/>
      <c r="AJ564" s="10"/>
      <c r="AK564" s="10"/>
      <c r="AL564" s="10"/>
      <c r="AM564" s="10"/>
      <c r="AN564" s="10"/>
    </row>
    <row r="565" spans="1:40" ht="19" customHeight="1" x14ac:dyDescent="0.15">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c r="AI565" s="10"/>
      <c r="AJ565" s="10"/>
      <c r="AK565" s="10"/>
      <c r="AL565" s="10"/>
      <c r="AM565" s="10"/>
      <c r="AN565" s="10"/>
    </row>
    <row r="566" spans="1:40" ht="19" customHeight="1" x14ac:dyDescent="0.15">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c r="AI566" s="10"/>
      <c r="AJ566" s="10"/>
      <c r="AK566" s="10"/>
      <c r="AL566" s="10"/>
      <c r="AM566" s="10"/>
      <c r="AN566" s="10"/>
    </row>
    <row r="567" spans="1:40" ht="19" customHeight="1" x14ac:dyDescent="0.15">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c r="AI567" s="10"/>
      <c r="AJ567" s="10"/>
      <c r="AK567" s="10"/>
      <c r="AL567" s="10"/>
      <c r="AM567" s="10"/>
      <c r="AN567" s="10"/>
    </row>
    <row r="568" spans="1:40" ht="19" customHeight="1" x14ac:dyDescent="0.15">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c r="AI568" s="10"/>
      <c r="AJ568" s="10"/>
      <c r="AK568" s="10"/>
      <c r="AL568" s="10"/>
      <c r="AM568" s="10"/>
      <c r="AN568" s="10"/>
    </row>
    <row r="569" spans="1:40" ht="19" customHeight="1" x14ac:dyDescent="0.15">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c r="AI569" s="10"/>
      <c r="AJ569" s="10"/>
      <c r="AK569" s="10"/>
      <c r="AL569" s="10"/>
      <c r="AM569" s="10"/>
      <c r="AN569" s="10"/>
    </row>
    <row r="570" spans="1:40" ht="19" customHeight="1" x14ac:dyDescent="0.15">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c r="AI570" s="10"/>
      <c r="AJ570" s="10"/>
      <c r="AK570" s="10"/>
      <c r="AL570" s="10"/>
      <c r="AM570" s="10"/>
      <c r="AN570" s="10"/>
    </row>
    <row r="571" spans="1:40" ht="19" customHeight="1" x14ac:dyDescent="0.15">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c r="AI571" s="10"/>
      <c r="AJ571" s="10"/>
      <c r="AK571" s="10"/>
      <c r="AL571" s="10"/>
      <c r="AM571" s="10"/>
      <c r="AN571" s="10"/>
    </row>
    <row r="572" spans="1:40" ht="19" customHeight="1" x14ac:dyDescent="0.15">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c r="AI572" s="10"/>
      <c r="AJ572" s="10"/>
      <c r="AK572" s="10"/>
      <c r="AL572" s="10"/>
      <c r="AM572" s="10"/>
      <c r="AN572" s="10"/>
    </row>
    <row r="573" spans="1:40" ht="19" customHeight="1" x14ac:dyDescent="0.15">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c r="AI573" s="10"/>
      <c r="AJ573" s="10"/>
      <c r="AK573" s="10"/>
      <c r="AL573" s="10"/>
      <c r="AM573" s="10"/>
      <c r="AN573" s="10"/>
    </row>
    <row r="574" spans="1:40" ht="19" customHeight="1" x14ac:dyDescent="0.15">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c r="AI574" s="10"/>
      <c r="AJ574" s="10"/>
      <c r="AK574" s="10"/>
      <c r="AL574" s="10"/>
      <c r="AM574" s="10"/>
      <c r="AN574" s="10"/>
    </row>
    <row r="575" spans="1:40" ht="19" customHeight="1" x14ac:dyDescent="0.15">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c r="AI575" s="10"/>
      <c r="AJ575" s="10"/>
      <c r="AK575" s="10"/>
      <c r="AL575" s="10"/>
      <c r="AM575" s="10"/>
      <c r="AN575" s="10"/>
    </row>
    <row r="576" spans="1:40" ht="19" customHeight="1" x14ac:dyDescent="0.15">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c r="AI576" s="10"/>
      <c r="AJ576" s="10"/>
      <c r="AK576" s="10"/>
      <c r="AL576" s="10"/>
      <c r="AM576" s="10"/>
      <c r="AN576" s="10"/>
    </row>
    <row r="577" spans="1:40" ht="19" customHeight="1" x14ac:dyDescent="0.15">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c r="AI577" s="10"/>
      <c r="AJ577" s="10"/>
      <c r="AK577" s="10"/>
      <c r="AL577" s="10"/>
      <c r="AM577" s="10"/>
      <c r="AN577" s="10"/>
    </row>
    <row r="578" spans="1:40" ht="19" customHeight="1" x14ac:dyDescent="0.15">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c r="AI578" s="10"/>
      <c r="AJ578" s="10"/>
      <c r="AK578" s="10"/>
      <c r="AL578" s="10"/>
      <c r="AM578" s="10"/>
      <c r="AN578" s="10"/>
    </row>
    <row r="579" spans="1:40" ht="19" customHeight="1" x14ac:dyDescent="0.15">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c r="AI579" s="10"/>
      <c r="AJ579" s="10"/>
      <c r="AK579" s="10"/>
      <c r="AL579" s="10"/>
      <c r="AM579" s="10"/>
      <c r="AN579" s="10"/>
    </row>
    <row r="580" spans="1:40" ht="19" customHeight="1" x14ac:dyDescent="0.15">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c r="AI580" s="10"/>
      <c r="AJ580" s="10"/>
      <c r="AK580" s="10"/>
      <c r="AL580" s="10"/>
      <c r="AM580" s="10"/>
      <c r="AN580" s="10"/>
    </row>
    <row r="581" spans="1:40" ht="19" customHeight="1" x14ac:dyDescent="0.15">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c r="AI581" s="10"/>
      <c r="AJ581" s="10"/>
      <c r="AK581" s="10"/>
      <c r="AL581" s="10"/>
      <c r="AM581" s="10"/>
      <c r="AN581" s="10"/>
    </row>
    <row r="582" spans="1:40" ht="19" customHeight="1" x14ac:dyDescent="0.15">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c r="AI582" s="10"/>
      <c r="AJ582" s="10"/>
      <c r="AK582" s="10"/>
      <c r="AL582" s="10"/>
      <c r="AM582" s="10"/>
      <c r="AN582" s="10"/>
    </row>
    <row r="583" spans="1:40" ht="19" customHeight="1" x14ac:dyDescent="0.15">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c r="AI583" s="10"/>
      <c r="AJ583" s="10"/>
      <c r="AK583" s="10"/>
      <c r="AL583" s="10"/>
      <c r="AM583" s="10"/>
      <c r="AN583" s="10"/>
    </row>
    <row r="584" spans="1:40" ht="19" customHeight="1" x14ac:dyDescent="0.15">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c r="AI584" s="10"/>
      <c r="AJ584" s="10"/>
      <c r="AK584" s="10"/>
      <c r="AL584" s="10"/>
      <c r="AM584" s="10"/>
      <c r="AN584" s="10"/>
    </row>
    <row r="585" spans="1:40" ht="19" customHeight="1" x14ac:dyDescent="0.15">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c r="AI585" s="10"/>
      <c r="AJ585" s="10"/>
      <c r="AK585" s="10"/>
      <c r="AL585" s="10"/>
      <c r="AM585" s="10"/>
      <c r="AN585" s="10"/>
    </row>
    <row r="586" spans="1:40" ht="19" customHeight="1" x14ac:dyDescent="0.15">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c r="AI586" s="10"/>
      <c r="AJ586" s="10"/>
      <c r="AK586" s="10"/>
      <c r="AL586" s="10"/>
      <c r="AM586" s="10"/>
      <c r="AN586" s="10"/>
    </row>
    <row r="587" spans="1:40" ht="19" customHeight="1" x14ac:dyDescent="0.15">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c r="AI587" s="10"/>
      <c r="AJ587" s="10"/>
      <c r="AK587" s="10"/>
      <c r="AL587" s="10"/>
      <c r="AM587" s="10"/>
      <c r="AN587" s="10"/>
    </row>
    <row r="588" spans="1:40" ht="19" customHeight="1" x14ac:dyDescent="0.15">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c r="AI588" s="10"/>
      <c r="AJ588" s="10"/>
      <c r="AK588" s="10"/>
      <c r="AL588" s="10"/>
      <c r="AM588" s="10"/>
      <c r="AN588" s="10"/>
    </row>
    <row r="589" spans="1:40" ht="19" customHeight="1" x14ac:dyDescent="0.15">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c r="AI589" s="10"/>
      <c r="AJ589" s="10"/>
      <c r="AK589" s="10"/>
      <c r="AL589" s="10"/>
      <c r="AM589" s="10"/>
      <c r="AN589" s="10"/>
    </row>
    <row r="590" spans="1:40" ht="19" customHeight="1" x14ac:dyDescent="0.15">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c r="AI590" s="10"/>
      <c r="AJ590" s="10"/>
      <c r="AK590" s="10"/>
      <c r="AL590" s="10"/>
      <c r="AM590" s="10"/>
      <c r="AN590" s="10"/>
    </row>
    <row r="591" spans="1:40" ht="19" customHeight="1" x14ac:dyDescent="0.15">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c r="AI591" s="10"/>
      <c r="AJ591" s="10"/>
      <c r="AK591" s="10"/>
      <c r="AL591" s="10"/>
      <c r="AM591" s="10"/>
      <c r="AN591" s="10"/>
    </row>
    <row r="592" spans="1:40" ht="19" customHeight="1" x14ac:dyDescent="0.15">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c r="AI592" s="10"/>
      <c r="AJ592" s="10"/>
      <c r="AK592" s="10"/>
      <c r="AL592" s="10"/>
      <c r="AM592" s="10"/>
      <c r="AN592" s="10"/>
    </row>
    <row r="593" spans="1:40" ht="19" customHeight="1" x14ac:dyDescent="0.15">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c r="AI593" s="10"/>
      <c r="AJ593" s="10"/>
      <c r="AK593" s="10"/>
      <c r="AL593" s="10"/>
      <c r="AM593" s="10"/>
      <c r="AN593" s="10"/>
    </row>
    <row r="594" spans="1:40" ht="19" customHeight="1" x14ac:dyDescent="0.15">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c r="AI594" s="10"/>
      <c r="AJ594" s="10"/>
      <c r="AK594" s="10"/>
      <c r="AL594" s="10"/>
      <c r="AM594" s="10"/>
      <c r="AN594" s="10"/>
    </row>
    <row r="595" spans="1:40" ht="19" customHeight="1" x14ac:dyDescent="0.15">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c r="AI595" s="10"/>
      <c r="AJ595" s="10"/>
      <c r="AK595" s="10"/>
      <c r="AL595" s="10"/>
      <c r="AM595" s="10"/>
      <c r="AN595" s="10"/>
    </row>
    <row r="596" spans="1:40" ht="19" customHeight="1" x14ac:dyDescent="0.15">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c r="AI596" s="10"/>
      <c r="AJ596" s="10"/>
      <c r="AK596" s="10"/>
      <c r="AL596" s="10"/>
      <c r="AM596" s="10"/>
      <c r="AN596" s="10"/>
    </row>
    <row r="597" spans="1:40" ht="19" customHeight="1" x14ac:dyDescent="0.15">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c r="AI597" s="10"/>
      <c r="AJ597" s="10"/>
      <c r="AK597" s="10"/>
      <c r="AL597" s="10"/>
      <c r="AM597" s="10"/>
      <c r="AN597" s="10"/>
    </row>
    <row r="598" spans="1:40" ht="19" customHeight="1" x14ac:dyDescent="0.15">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c r="AI598" s="10"/>
      <c r="AJ598" s="10"/>
      <c r="AK598" s="10"/>
      <c r="AL598" s="10"/>
      <c r="AM598" s="10"/>
      <c r="AN598" s="10"/>
    </row>
    <row r="599" spans="1:40" ht="19" customHeight="1" x14ac:dyDescent="0.15">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c r="AI599" s="10"/>
      <c r="AJ599" s="10"/>
      <c r="AK599" s="10"/>
      <c r="AL599" s="10"/>
      <c r="AM599" s="10"/>
      <c r="AN599" s="10"/>
    </row>
    <row r="600" spans="1:40" ht="19" customHeight="1" x14ac:dyDescent="0.15">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c r="AI600" s="10"/>
      <c r="AJ600" s="10"/>
      <c r="AK600" s="10"/>
      <c r="AL600" s="10"/>
      <c r="AM600" s="10"/>
      <c r="AN600" s="10"/>
    </row>
    <row r="601" spans="1:40" ht="19" customHeight="1" x14ac:dyDescent="0.15">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c r="AI601" s="10"/>
      <c r="AJ601" s="10"/>
      <c r="AK601" s="10"/>
      <c r="AL601" s="10"/>
      <c r="AM601" s="10"/>
      <c r="AN601" s="10"/>
    </row>
    <row r="602" spans="1:40" ht="19" customHeight="1" x14ac:dyDescent="0.15">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c r="AI602" s="10"/>
      <c r="AJ602" s="10"/>
      <c r="AK602" s="10"/>
      <c r="AL602" s="10"/>
      <c r="AM602" s="10"/>
      <c r="AN602" s="10"/>
    </row>
    <row r="603" spans="1:40" ht="19" customHeight="1" x14ac:dyDescent="0.15">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c r="AI603" s="10"/>
      <c r="AJ603" s="10"/>
      <c r="AK603" s="10"/>
      <c r="AL603" s="10"/>
      <c r="AM603" s="10"/>
      <c r="AN603" s="10"/>
    </row>
    <row r="604" spans="1:40" ht="19" customHeight="1" x14ac:dyDescent="0.15">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c r="AI604" s="10"/>
      <c r="AJ604" s="10"/>
      <c r="AK604" s="10"/>
      <c r="AL604" s="10"/>
      <c r="AM604" s="10"/>
      <c r="AN604" s="10"/>
    </row>
    <row r="605" spans="1:40" ht="19" customHeight="1" x14ac:dyDescent="0.15">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c r="AI605" s="10"/>
      <c r="AJ605" s="10"/>
      <c r="AK605" s="10"/>
      <c r="AL605" s="10"/>
      <c r="AM605" s="10"/>
      <c r="AN605" s="10"/>
    </row>
    <row r="606" spans="1:40" ht="19" customHeight="1" x14ac:dyDescent="0.15">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c r="AM606" s="10"/>
      <c r="AN606" s="10"/>
    </row>
    <row r="607" spans="1:40" ht="19" customHeight="1" x14ac:dyDescent="0.15">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c r="AM607" s="10"/>
      <c r="AN607" s="10"/>
    </row>
    <row r="608" spans="1:40" ht="19" customHeight="1" x14ac:dyDescent="0.15">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c r="AM608" s="10"/>
      <c r="AN608" s="10"/>
    </row>
    <row r="609" spans="1:40" ht="19" customHeight="1" x14ac:dyDescent="0.15">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c r="AM609" s="10"/>
      <c r="AN609" s="10"/>
    </row>
    <row r="610" spans="1:40" ht="19" customHeight="1" x14ac:dyDescent="0.15">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c r="AM610" s="10"/>
      <c r="AN610" s="10"/>
    </row>
    <row r="611" spans="1:40" ht="19" customHeight="1" x14ac:dyDescent="0.15">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c r="AM611" s="10"/>
      <c r="AN611" s="10"/>
    </row>
    <row r="612" spans="1:40" ht="19" customHeight="1" x14ac:dyDescent="0.15">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c r="AM612" s="10"/>
      <c r="AN612" s="10"/>
    </row>
    <row r="613" spans="1:40" ht="19" customHeight="1" x14ac:dyDescent="0.15">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c r="AM613" s="10"/>
      <c r="AN613" s="10"/>
    </row>
    <row r="614" spans="1:40" ht="19" customHeight="1" x14ac:dyDescent="0.15">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c r="AM614" s="10"/>
      <c r="AN614" s="10"/>
    </row>
    <row r="615" spans="1:40" ht="19" customHeight="1" x14ac:dyDescent="0.15">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c r="AM615" s="10"/>
      <c r="AN615" s="10"/>
    </row>
    <row r="616" spans="1:40" ht="19" customHeight="1" x14ac:dyDescent="0.15">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c r="AI616" s="10"/>
      <c r="AJ616" s="10"/>
      <c r="AK616" s="10"/>
      <c r="AL616" s="10"/>
      <c r="AM616" s="10"/>
      <c r="AN616" s="10"/>
    </row>
    <row r="617" spans="1:40" ht="19" customHeight="1" x14ac:dyDescent="0.15">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c r="AI617" s="10"/>
      <c r="AJ617" s="10"/>
      <c r="AK617" s="10"/>
      <c r="AL617" s="10"/>
      <c r="AM617" s="10"/>
      <c r="AN617" s="10"/>
    </row>
    <row r="618" spans="1:40" ht="19" customHeight="1" x14ac:dyDescent="0.15">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c r="AI618" s="10"/>
      <c r="AJ618" s="10"/>
      <c r="AK618" s="10"/>
      <c r="AL618" s="10"/>
      <c r="AM618" s="10"/>
      <c r="AN618" s="10"/>
    </row>
    <row r="619" spans="1:40" ht="19" customHeight="1" x14ac:dyDescent="0.15">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c r="AI619" s="10"/>
      <c r="AJ619" s="10"/>
      <c r="AK619" s="10"/>
      <c r="AL619" s="10"/>
      <c r="AM619" s="10"/>
      <c r="AN619" s="10"/>
    </row>
    <row r="620" spans="1:40" ht="19" customHeight="1" x14ac:dyDescent="0.15">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c r="AI620" s="10"/>
      <c r="AJ620" s="10"/>
      <c r="AK620" s="10"/>
      <c r="AL620" s="10"/>
      <c r="AM620" s="10"/>
      <c r="AN620" s="10"/>
    </row>
    <row r="621" spans="1:40" ht="19" customHeight="1" x14ac:dyDescent="0.15">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c r="AI621" s="10"/>
      <c r="AJ621" s="10"/>
      <c r="AK621" s="10"/>
      <c r="AL621" s="10"/>
      <c r="AM621" s="10"/>
      <c r="AN621" s="10"/>
    </row>
    <row r="622" spans="1:40" ht="19" customHeight="1" x14ac:dyDescent="0.15">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c r="AI622" s="10"/>
      <c r="AJ622" s="10"/>
      <c r="AK622" s="10"/>
      <c r="AL622" s="10"/>
      <c r="AM622" s="10"/>
      <c r="AN622" s="10"/>
    </row>
    <row r="623" spans="1:40" ht="19" customHeight="1" x14ac:dyDescent="0.15">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c r="AI623" s="10"/>
      <c r="AJ623" s="10"/>
      <c r="AK623" s="10"/>
      <c r="AL623" s="10"/>
      <c r="AM623" s="10"/>
      <c r="AN623" s="10"/>
    </row>
    <row r="624" spans="1:40" ht="19" customHeight="1" x14ac:dyDescent="0.15">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c r="AI624" s="10"/>
      <c r="AJ624" s="10"/>
      <c r="AK624" s="10"/>
      <c r="AL624" s="10"/>
      <c r="AM624" s="10"/>
      <c r="AN624" s="10"/>
    </row>
    <row r="625" spans="1:40" ht="19" customHeight="1" x14ac:dyDescent="0.15">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c r="AI625" s="10"/>
      <c r="AJ625" s="10"/>
      <c r="AK625" s="10"/>
      <c r="AL625" s="10"/>
      <c r="AM625" s="10"/>
      <c r="AN625" s="10"/>
    </row>
    <row r="626" spans="1:40" ht="19" customHeight="1" x14ac:dyDescent="0.15">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c r="AI626" s="10"/>
      <c r="AJ626" s="10"/>
      <c r="AK626" s="10"/>
      <c r="AL626" s="10"/>
      <c r="AM626" s="10"/>
      <c r="AN626" s="10"/>
    </row>
    <row r="627" spans="1:40" ht="19" customHeight="1" x14ac:dyDescent="0.15">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c r="AI627" s="10"/>
      <c r="AJ627" s="10"/>
      <c r="AK627" s="10"/>
      <c r="AL627" s="10"/>
      <c r="AM627" s="10"/>
      <c r="AN627" s="10"/>
    </row>
    <row r="628" spans="1:40" ht="19" customHeight="1" x14ac:dyDescent="0.15">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c r="AI628" s="10"/>
      <c r="AJ628" s="10"/>
      <c r="AK628" s="10"/>
      <c r="AL628" s="10"/>
      <c r="AM628" s="10"/>
      <c r="AN628" s="10"/>
    </row>
    <row r="629" spans="1:40" ht="19" customHeight="1" x14ac:dyDescent="0.15">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c r="AI629" s="10"/>
      <c r="AJ629" s="10"/>
      <c r="AK629" s="10"/>
      <c r="AL629" s="10"/>
      <c r="AM629" s="10"/>
      <c r="AN629" s="10"/>
    </row>
    <row r="630" spans="1:40" ht="19" customHeight="1" x14ac:dyDescent="0.15">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c r="AI630" s="10"/>
      <c r="AJ630" s="10"/>
      <c r="AK630" s="10"/>
      <c r="AL630" s="10"/>
      <c r="AM630" s="10"/>
      <c r="AN630" s="10"/>
    </row>
    <row r="631" spans="1:40" ht="19" customHeight="1" x14ac:dyDescent="0.15">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c r="AI631" s="10"/>
      <c r="AJ631" s="10"/>
      <c r="AK631" s="10"/>
      <c r="AL631" s="10"/>
      <c r="AM631" s="10"/>
      <c r="AN631" s="10"/>
    </row>
    <row r="632" spans="1:40" ht="19" customHeight="1" x14ac:dyDescent="0.15">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c r="AI632" s="10"/>
      <c r="AJ632" s="10"/>
      <c r="AK632" s="10"/>
      <c r="AL632" s="10"/>
      <c r="AM632" s="10"/>
      <c r="AN632" s="10"/>
    </row>
    <row r="633" spans="1:40" ht="19" customHeight="1" x14ac:dyDescent="0.15">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c r="AI633" s="10"/>
      <c r="AJ633" s="10"/>
      <c r="AK633" s="10"/>
      <c r="AL633" s="10"/>
      <c r="AM633" s="10"/>
      <c r="AN633" s="10"/>
    </row>
    <row r="634" spans="1:40" ht="19" customHeight="1" x14ac:dyDescent="0.15">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c r="AI634" s="10"/>
      <c r="AJ634" s="10"/>
      <c r="AK634" s="10"/>
      <c r="AL634" s="10"/>
      <c r="AM634" s="10"/>
      <c r="AN634" s="10"/>
    </row>
    <row r="635" spans="1:40" ht="19" customHeight="1" x14ac:dyDescent="0.15">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c r="AI635" s="10"/>
      <c r="AJ635" s="10"/>
      <c r="AK635" s="10"/>
      <c r="AL635" s="10"/>
      <c r="AM635" s="10"/>
      <c r="AN635" s="10"/>
    </row>
    <row r="636" spans="1:40" ht="19" customHeight="1" x14ac:dyDescent="0.15">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c r="AM636" s="10"/>
      <c r="AN636" s="10"/>
    </row>
    <row r="637" spans="1:40" ht="19" customHeight="1" x14ac:dyDescent="0.15">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c r="AM637" s="10"/>
      <c r="AN637" s="10"/>
    </row>
    <row r="638" spans="1:40" ht="19" customHeight="1" x14ac:dyDescent="0.15">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c r="AM638" s="10"/>
      <c r="AN638" s="10"/>
    </row>
    <row r="639" spans="1:40" ht="19" customHeight="1" x14ac:dyDescent="0.15">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c r="AM639" s="10"/>
      <c r="AN639" s="10"/>
    </row>
    <row r="640" spans="1:40" ht="19" customHeight="1" x14ac:dyDescent="0.15">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c r="AM640" s="10"/>
      <c r="AN640" s="10"/>
    </row>
    <row r="641" spans="1:40" ht="19" customHeight="1" x14ac:dyDescent="0.15">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c r="AM641" s="10"/>
      <c r="AN641" s="10"/>
    </row>
    <row r="642" spans="1:40" ht="19" customHeight="1" x14ac:dyDescent="0.15">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c r="AM642" s="10"/>
      <c r="AN642" s="10"/>
    </row>
    <row r="643" spans="1:40" ht="19" customHeight="1" x14ac:dyDescent="0.15">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c r="AM643" s="10"/>
      <c r="AN643" s="10"/>
    </row>
    <row r="644" spans="1:40" ht="19" customHeight="1" x14ac:dyDescent="0.15">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c r="AM644" s="10"/>
      <c r="AN644" s="10"/>
    </row>
    <row r="645" spans="1:40" ht="19" customHeight="1" x14ac:dyDescent="0.15">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c r="AN645" s="10"/>
    </row>
    <row r="646" spans="1:40" ht="19" customHeight="1" x14ac:dyDescent="0.15">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c r="AI646" s="10"/>
      <c r="AJ646" s="10"/>
      <c r="AK646" s="10"/>
      <c r="AL646" s="10"/>
      <c r="AM646" s="10"/>
      <c r="AN646" s="10"/>
    </row>
    <row r="647" spans="1:40" ht="19" customHeight="1" x14ac:dyDescent="0.15">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c r="AI647" s="10"/>
      <c r="AJ647" s="10"/>
      <c r="AK647" s="10"/>
      <c r="AL647" s="10"/>
      <c r="AM647" s="10"/>
      <c r="AN647" s="10"/>
    </row>
    <row r="648" spans="1:40" ht="19" customHeight="1" x14ac:dyDescent="0.15">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c r="AI648" s="10"/>
      <c r="AJ648" s="10"/>
      <c r="AK648" s="10"/>
      <c r="AL648" s="10"/>
      <c r="AM648" s="10"/>
      <c r="AN648" s="10"/>
    </row>
    <row r="649" spans="1:40" ht="19" customHeight="1" x14ac:dyDescent="0.15">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c r="AN649" s="10"/>
    </row>
    <row r="650" spans="1:40" ht="19" customHeight="1" x14ac:dyDescent="0.15">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c r="AI650" s="10"/>
      <c r="AJ650" s="10"/>
      <c r="AK650" s="10"/>
      <c r="AL650" s="10"/>
      <c r="AM650" s="10"/>
      <c r="AN650" s="10"/>
    </row>
    <row r="651" spans="1:40" ht="19" customHeight="1" x14ac:dyDescent="0.15">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c r="AN651" s="10"/>
    </row>
    <row r="652" spans="1:40" ht="19" customHeight="1" x14ac:dyDescent="0.15">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c r="AI652" s="10"/>
      <c r="AJ652" s="10"/>
      <c r="AK652" s="10"/>
      <c r="AL652" s="10"/>
      <c r="AM652" s="10"/>
      <c r="AN652" s="10"/>
    </row>
    <row r="653" spans="1:40" ht="19" customHeight="1" x14ac:dyDescent="0.15">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c r="AN653" s="10"/>
    </row>
    <row r="654" spans="1:40" ht="19" customHeight="1" x14ac:dyDescent="0.15">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c r="AI654" s="10"/>
      <c r="AJ654" s="10"/>
      <c r="AK654" s="10"/>
      <c r="AL654" s="10"/>
      <c r="AM654" s="10"/>
      <c r="AN654" s="10"/>
    </row>
    <row r="655" spans="1:40" ht="19" customHeight="1" x14ac:dyDescent="0.15">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c r="AI655" s="10"/>
      <c r="AJ655" s="10"/>
      <c r="AK655" s="10"/>
      <c r="AL655" s="10"/>
      <c r="AM655" s="10"/>
      <c r="AN655" s="10"/>
    </row>
    <row r="656" spans="1:40" ht="19" customHeight="1" x14ac:dyDescent="0.15">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c r="AI656" s="10"/>
      <c r="AJ656" s="10"/>
      <c r="AK656" s="10"/>
      <c r="AL656" s="10"/>
      <c r="AM656" s="10"/>
      <c r="AN656" s="10"/>
    </row>
    <row r="657" spans="1:40" ht="19" customHeight="1" x14ac:dyDescent="0.15">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c r="AI657" s="10"/>
      <c r="AJ657" s="10"/>
      <c r="AK657" s="10"/>
      <c r="AL657" s="10"/>
      <c r="AM657" s="10"/>
      <c r="AN657" s="10"/>
    </row>
    <row r="658" spans="1:40" ht="19" customHeight="1" x14ac:dyDescent="0.15">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c r="AI658" s="10"/>
      <c r="AJ658" s="10"/>
      <c r="AK658" s="10"/>
      <c r="AL658" s="10"/>
      <c r="AM658" s="10"/>
      <c r="AN658" s="10"/>
    </row>
    <row r="659" spans="1:40" ht="19" customHeight="1" x14ac:dyDescent="0.15">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c r="AI659" s="10"/>
      <c r="AJ659" s="10"/>
      <c r="AK659" s="10"/>
      <c r="AL659" s="10"/>
      <c r="AM659" s="10"/>
      <c r="AN659" s="10"/>
    </row>
    <row r="660" spans="1:40" ht="19" customHeight="1" x14ac:dyDescent="0.15">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c r="AI660" s="10"/>
      <c r="AJ660" s="10"/>
      <c r="AK660" s="10"/>
      <c r="AL660" s="10"/>
      <c r="AM660" s="10"/>
      <c r="AN660" s="10"/>
    </row>
    <row r="661" spans="1:40" ht="19" customHeight="1" x14ac:dyDescent="0.15">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c r="AI661" s="10"/>
      <c r="AJ661" s="10"/>
      <c r="AK661" s="10"/>
      <c r="AL661" s="10"/>
      <c r="AM661" s="10"/>
      <c r="AN661" s="10"/>
    </row>
    <row r="662" spans="1:40" ht="19" customHeight="1" x14ac:dyDescent="0.15">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c r="AI662" s="10"/>
      <c r="AJ662" s="10"/>
      <c r="AK662" s="10"/>
      <c r="AL662" s="10"/>
      <c r="AM662" s="10"/>
      <c r="AN662" s="10"/>
    </row>
    <row r="663" spans="1:40" ht="19" customHeight="1" x14ac:dyDescent="0.15">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c r="AI663" s="10"/>
      <c r="AJ663" s="10"/>
      <c r="AK663" s="10"/>
      <c r="AL663" s="10"/>
      <c r="AM663" s="10"/>
      <c r="AN663" s="10"/>
    </row>
    <row r="664" spans="1:40" ht="19" customHeight="1" x14ac:dyDescent="0.15">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row>
    <row r="665" spans="1:40" ht="19" customHeight="1" x14ac:dyDescent="0.15">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row>
    <row r="666" spans="1:40" ht="19" customHeight="1" x14ac:dyDescent="0.15">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c r="AI666" s="10"/>
      <c r="AJ666" s="10"/>
      <c r="AK666" s="10"/>
      <c r="AL666" s="10"/>
      <c r="AM666" s="10"/>
      <c r="AN666" s="10"/>
    </row>
    <row r="667" spans="1:40" ht="19" customHeight="1" x14ac:dyDescent="0.15">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c r="AI667" s="10"/>
      <c r="AJ667" s="10"/>
      <c r="AK667" s="10"/>
      <c r="AL667" s="10"/>
      <c r="AM667" s="10"/>
      <c r="AN667" s="10"/>
    </row>
    <row r="668" spans="1:40" ht="19" customHeight="1" x14ac:dyDescent="0.15">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c r="AI668" s="10"/>
      <c r="AJ668" s="10"/>
      <c r="AK668" s="10"/>
      <c r="AL668" s="10"/>
      <c r="AM668" s="10"/>
      <c r="AN668" s="10"/>
    </row>
    <row r="669" spans="1:40" ht="19" customHeight="1" x14ac:dyDescent="0.15">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c r="AI669" s="10"/>
      <c r="AJ669" s="10"/>
      <c r="AK669" s="10"/>
      <c r="AL669" s="10"/>
      <c r="AM669" s="10"/>
      <c r="AN669" s="10"/>
    </row>
    <row r="670" spans="1:40" ht="19" customHeight="1" x14ac:dyDescent="0.15">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c r="AI670" s="10"/>
      <c r="AJ670" s="10"/>
      <c r="AK670" s="10"/>
      <c r="AL670" s="10"/>
      <c r="AM670" s="10"/>
      <c r="AN670" s="10"/>
    </row>
    <row r="671" spans="1:40" ht="19" customHeight="1" x14ac:dyDescent="0.15">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c r="AI671" s="10"/>
      <c r="AJ671" s="10"/>
      <c r="AK671" s="10"/>
      <c r="AL671" s="10"/>
      <c r="AM671" s="10"/>
      <c r="AN671" s="10"/>
    </row>
    <row r="672" spans="1:40" ht="19" customHeight="1" x14ac:dyDescent="0.15">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c r="AI672" s="10"/>
      <c r="AJ672" s="10"/>
      <c r="AK672" s="10"/>
      <c r="AL672" s="10"/>
      <c r="AM672" s="10"/>
      <c r="AN672" s="10"/>
    </row>
    <row r="673" spans="1:40" ht="19" customHeight="1" x14ac:dyDescent="0.15">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c r="AI673" s="10"/>
      <c r="AJ673" s="10"/>
      <c r="AK673" s="10"/>
      <c r="AL673" s="10"/>
      <c r="AM673" s="10"/>
      <c r="AN673" s="10"/>
    </row>
    <row r="674" spans="1:40" ht="19" customHeight="1" x14ac:dyDescent="0.15">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c r="AI674" s="10"/>
      <c r="AJ674" s="10"/>
      <c r="AK674" s="10"/>
      <c r="AL674" s="10"/>
      <c r="AM674" s="10"/>
      <c r="AN674" s="10"/>
    </row>
    <row r="675" spans="1:40" ht="19" customHeight="1" x14ac:dyDescent="0.15">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c r="AI675" s="10"/>
      <c r="AJ675" s="10"/>
      <c r="AK675" s="10"/>
      <c r="AL675" s="10"/>
      <c r="AM675" s="10"/>
      <c r="AN675" s="10"/>
    </row>
    <row r="676" spans="1:40" ht="19" customHeight="1" x14ac:dyDescent="0.15">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c r="AI676" s="10"/>
      <c r="AJ676" s="10"/>
      <c r="AK676" s="10"/>
      <c r="AL676" s="10"/>
      <c r="AM676" s="10"/>
      <c r="AN676" s="10"/>
    </row>
    <row r="677" spans="1:40" ht="19" customHeight="1" x14ac:dyDescent="0.15">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c r="AI677" s="10"/>
      <c r="AJ677" s="10"/>
      <c r="AK677" s="10"/>
      <c r="AL677" s="10"/>
      <c r="AM677" s="10"/>
      <c r="AN677" s="10"/>
    </row>
    <row r="678" spans="1:40" ht="19" customHeight="1" x14ac:dyDescent="0.15">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c r="AI678" s="10"/>
      <c r="AJ678" s="10"/>
      <c r="AK678" s="10"/>
      <c r="AL678" s="10"/>
      <c r="AM678" s="10"/>
      <c r="AN678" s="10"/>
    </row>
    <row r="679" spans="1:40" ht="19" customHeight="1" x14ac:dyDescent="0.15">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c r="AM679" s="10"/>
      <c r="AN679" s="10"/>
    </row>
    <row r="680" spans="1:40" ht="19" customHeight="1" x14ac:dyDescent="0.15">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c r="AM680" s="10"/>
      <c r="AN680" s="10"/>
    </row>
    <row r="681" spans="1:40" ht="19" customHeight="1" x14ac:dyDescent="0.15">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c r="AM681" s="10"/>
      <c r="AN681" s="10"/>
    </row>
    <row r="682" spans="1:40" ht="19" customHeight="1" x14ac:dyDescent="0.15">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c r="AM682" s="10"/>
      <c r="AN682" s="10"/>
    </row>
    <row r="683" spans="1:40" ht="19" customHeight="1" x14ac:dyDescent="0.15">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c r="AM683" s="10"/>
      <c r="AN683" s="10"/>
    </row>
    <row r="684" spans="1:40" ht="19" customHeight="1" x14ac:dyDescent="0.15">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c r="AM684" s="10"/>
      <c r="AN684" s="10"/>
    </row>
    <row r="685" spans="1:40" ht="19" customHeight="1" x14ac:dyDescent="0.15">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c r="AM685" s="10"/>
      <c r="AN685" s="10"/>
    </row>
    <row r="686" spans="1:40" ht="19" customHeight="1" x14ac:dyDescent="0.15">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c r="AM686" s="10"/>
      <c r="AN686" s="10"/>
    </row>
    <row r="687" spans="1:40" ht="19" customHeight="1" x14ac:dyDescent="0.15">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c r="AM687" s="10"/>
      <c r="AN687" s="10"/>
    </row>
    <row r="688" spans="1:40" ht="19" customHeight="1" x14ac:dyDescent="0.15">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c r="AM688" s="10"/>
      <c r="AN688" s="10"/>
    </row>
    <row r="689" spans="1:40" ht="19" customHeight="1" x14ac:dyDescent="0.15">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c r="AI689" s="10"/>
      <c r="AJ689" s="10"/>
      <c r="AK689" s="10"/>
      <c r="AL689" s="10"/>
      <c r="AM689" s="10"/>
      <c r="AN689" s="10"/>
    </row>
    <row r="690" spans="1:40" ht="19" customHeight="1" x14ac:dyDescent="0.15">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c r="AI690" s="10"/>
      <c r="AJ690" s="10"/>
      <c r="AK690" s="10"/>
      <c r="AL690" s="10"/>
      <c r="AM690" s="10"/>
      <c r="AN690" s="10"/>
    </row>
    <row r="691" spans="1:40" ht="19" customHeight="1" x14ac:dyDescent="0.15">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c r="AI691" s="10"/>
      <c r="AJ691" s="10"/>
      <c r="AK691" s="10"/>
      <c r="AL691" s="10"/>
      <c r="AM691" s="10"/>
      <c r="AN691" s="10"/>
    </row>
    <row r="692" spans="1:40" ht="19" customHeight="1" x14ac:dyDescent="0.15">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c r="AN692" s="10"/>
    </row>
    <row r="693" spans="1:40" ht="19" customHeight="1" x14ac:dyDescent="0.15">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c r="AI693" s="10"/>
      <c r="AJ693" s="10"/>
      <c r="AK693" s="10"/>
      <c r="AL693" s="10"/>
      <c r="AM693" s="10"/>
      <c r="AN693" s="10"/>
    </row>
    <row r="694" spans="1:40" ht="19" customHeight="1" x14ac:dyDescent="0.15">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c r="AI694" s="10"/>
      <c r="AJ694" s="10"/>
      <c r="AK694" s="10"/>
      <c r="AL694" s="10"/>
      <c r="AM694" s="10"/>
      <c r="AN694" s="10"/>
    </row>
    <row r="695" spans="1:40" ht="19" customHeight="1" x14ac:dyDescent="0.15">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c r="AI695" s="10"/>
      <c r="AJ695" s="10"/>
      <c r="AK695" s="10"/>
      <c r="AL695" s="10"/>
      <c r="AM695" s="10"/>
      <c r="AN695" s="10"/>
    </row>
    <row r="696" spans="1:40" ht="19" customHeight="1" x14ac:dyDescent="0.15">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c r="AI696" s="10"/>
      <c r="AJ696" s="10"/>
      <c r="AK696" s="10"/>
      <c r="AL696" s="10"/>
      <c r="AM696" s="10"/>
      <c r="AN696" s="10"/>
    </row>
    <row r="697" spans="1:40" ht="19" customHeight="1" x14ac:dyDescent="0.15">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c r="AI697" s="10"/>
      <c r="AJ697" s="10"/>
      <c r="AK697" s="10"/>
      <c r="AL697" s="10"/>
      <c r="AM697" s="10"/>
      <c r="AN697" s="10"/>
    </row>
    <row r="698" spans="1:40" ht="19" customHeight="1" x14ac:dyDescent="0.15">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c r="AI698" s="10"/>
      <c r="AJ698" s="10"/>
      <c r="AK698" s="10"/>
      <c r="AL698" s="10"/>
      <c r="AM698" s="10"/>
      <c r="AN698" s="10"/>
    </row>
    <row r="699" spans="1:40" ht="19" customHeight="1" x14ac:dyDescent="0.15">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c r="AI699" s="10"/>
      <c r="AJ699" s="10"/>
      <c r="AK699" s="10"/>
      <c r="AL699" s="10"/>
      <c r="AM699" s="10"/>
      <c r="AN699" s="10"/>
    </row>
    <row r="700" spans="1:40" ht="19" customHeight="1" x14ac:dyDescent="0.15">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c r="AI700" s="10"/>
      <c r="AJ700" s="10"/>
      <c r="AK700" s="10"/>
      <c r="AL700" s="10"/>
      <c r="AM700" s="10"/>
      <c r="AN700" s="10"/>
    </row>
    <row r="701" spans="1:40" ht="19" customHeight="1" x14ac:dyDescent="0.15">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c r="AI701" s="10"/>
      <c r="AJ701" s="10"/>
      <c r="AK701" s="10"/>
      <c r="AL701" s="10"/>
      <c r="AM701" s="10"/>
      <c r="AN701" s="10"/>
    </row>
    <row r="702" spans="1:40" ht="19" customHeight="1" x14ac:dyDescent="0.15">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c r="AI702" s="10"/>
      <c r="AJ702" s="10"/>
      <c r="AK702" s="10"/>
      <c r="AL702" s="10"/>
      <c r="AM702" s="10"/>
      <c r="AN702" s="10"/>
    </row>
    <row r="703" spans="1:40" ht="19" customHeight="1" x14ac:dyDescent="0.15">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c r="AI703" s="10"/>
      <c r="AJ703" s="10"/>
      <c r="AK703" s="10"/>
      <c r="AL703" s="10"/>
      <c r="AM703" s="10"/>
      <c r="AN703" s="10"/>
    </row>
    <row r="704" spans="1:40" ht="19" customHeight="1" x14ac:dyDescent="0.15">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c r="AI704" s="10"/>
      <c r="AJ704" s="10"/>
      <c r="AK704" s="10"/>
      <c r="AL704" s="10"/>
      <c r="AM704" s="10"/>
      <c r="AN704" s="10"/>
    </row>
    <row r="705" spans="1:40" ht="19" customHeight="1" x14ac:dyDescent="0.15">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c r="AI705" s="10"/>
      <c r="AJ705" s="10"/>
      <c r="AK705" s="10"/>
      <c r="AL705" s="10"/>
      <c r="AM705" s="10"/>
      <c r="AN705" s="10"/>
    </row>
    <row r="706" spans="1:40" ht="19" customHeight="1" x14ac:dyDescent="0.15">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c r="AI706" s="10"/>
      <c r="AJ706" s="10"/>
      <c r="AK706" s="10"/>
      <c r="AL706" s="10"/>
      <c r="AM706" s="10"/>
      <c r="AN706" s="10"/>
    </row>
    <row r="707" spans="1:40" ht="19" customHeight="1" x14ac:dyDescent="0.15">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c r="AI707" s="10"/>
      <c r="AJ707" s="10"/>
      <c r="AK707" s="10"/>
      <c r="AL707" s="10"/>
      <c r="AM707" s="10"/>
      <c r="AN707" s="10"/>
    </row>
    <row r="708" spans="1:40" ht="19" customHeight="1" x14ac:dyDescent="0.15">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c r="AI708" s="10"/>
      <c r="AJ708" s="10"/>
      <c r="AK708" s="10"/>
      <c r="AL708" s="10"/>
      <c r="AM708" s="10"/>
      <c r="AN708" s="10"/>
    </row>
    <row r="709" spans="1:40" ht="19" customHeight="1" x14ac:dyDescent="0.15">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c r="AI709" s="10"/>
      <c r="AJ709" s="10"/>
      <c r="AK709" s="10"/>
      <c r="AL709" s="10"/>
      <c r="AM709" s="10"/>
      <c r="AN709" s="10"/>
    </row>
    <row r="710" spans="1:40" ht="19" customHeight="1" x14ac:dyDescent="0.15">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c r="AI710" s="10"/>
      <c r="AJ710" s="10"/>
      <c r="AK710" s="10"/>
      <c r="AL710" s="10"/>
      <c r="AM710" s="10"/>
      <c r="AN710" s="10"/>
    </row>
    <row r="711" spans="1:40" ht="19" customHeight="1" x14ac:dyDescent="0.15">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c r="AI711" s="10"/>
      <c r="AJ711" s="10"/>
      <c r="AK711" s="10"/>
      <c r="AL711" s="10"/>
      <c r="AM711" s="10"/>
      <c r="AN711" s="10"/>
    </row>
    <row r="712" spans="1:40" ht="19" customHeight="1" x14ac:dyDescent="0.15">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c r="AI712" s="10"/>
      <c r="AJ712" s="10"/>
      <c r="AK712" s="10"/>
      <c r="AL712" s="10"/>
      <c r="AM712" s="10"/>
      <c r="AN712" s="10"/>
    </row>
    <row r="713" spans="1:40" ht="19" customHeight="1" x14ac:dyDescent="0.15">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c r="AI713" s="10"/>
      <c r="AJ713" s="10"/>
      <c r="AK713" s="10"/>
      <c r="AL713" s="10"/>
      <c r="AM713" s="10"/>
      <c r="AN713" s="10"/>
    </row>
    <row r="714" spans="1:40" ht="19" customHeight="1" x14ac:dyDescent="0.15">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c r="AI714" s="10"/>
      <c r="AJ714" s="10"/>
      <c r="AK714" s="10"/>
      <c r="AL714" s="10"/>
      <c r="AM714" s="10"/>
      <c r="AN714" s="10"/>
    </row>
    <row r="715" spans="1:40" ht="19" customHeight="1" x14ac:dyDescent="0.15">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c r="AI715" s="10"/>
      <c r="AJ715" s="10"/>
      <c r="AK715" s="10"/>
      <c r="AL715" s="10"/>
      <c r="AM715" s="10"/>
      <c r="AN715" s="10"/>
    </row>
    <row r="716" spans="1:40" ht="19" customHeight="1" x14ac:dyDescent="0.15">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c r="AI716" s="10"/>
      <c r="AJ716" s="10"/>
      <c r="AK716" s="10"/>
      <c r="AL716" s="10"/>
      <c r="AM716" s="10"/>
      <c r="AN716" s="10"/>
    </row>
    <row r="717" spans="1:40" ht="19" customHeight="1" x14ac:dyDescent="0.15">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c r="AI717" s="10"/>
      <c r="AJ717" s="10"/>
      <c r="AK717" s="10"/>
      <c r="AL717" s="10"/>
      <c r="AM717" s="10"/>
      <c r="AN717" s="10"/>
    </row>
    <row r="718" spans="1:40" ht="19" customHeight="1" x14ac:dyDescent="0.15">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c r="AI718" s="10"/>
      <c r="AJ718" s="10"/>
      <c r="AK718" s="10"/>
      <c r="AL718" s="10"/>
      <c r="AM718" s="10"/>
      <c r="AN718" s="10"/>
    </row>
    <row r="719" spans="1:40" ht="19" customHeight="1" x14ac:dyDescent="0.15">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c r="AI719" s="10"/>
      <c r="AJ719" s="10"/>
      <c r="AK719" s="10"/>
      <c r="AL719" s="10"/>
      <c r="AM719" s="10"/>
      <c r="AN719" s="10"/>
    </row>
    <row r="720" spans="1:40" ht="19" customHeight="1" x14ac:dyDescent="0.15">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c r="AI720" s="10"/>
      <c r="AJ720" s="10"/>
      <c r="AK720" s="10"/>
      <c r="AL720" s="10"/>
      <c r="AM720" s="10"/>
      <c r="AN720" s="10"/>
    </row>
    <row r="721" spans="1:40" ht="19" customHeight="1" x14ac:dyDescent="0.15">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c r="AI721" s="10"/>
      <c r="AJ721" s="10"/>
      <c r="AK721" s="10"/>
      <c r="AL721" s="10"/>
      <c r="AM721" s="10"/>
      <c r="AN721" s="10"/>
    </row>
    <row r="722" spans="1:40" ht="19" customHeight="1" x14ac:dyDescent="0.15">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c r="AI722" s="10"/>
      <c r="AJ722" s="10"/>
      <c r="AK722" s="10"/>
      <c r="AL722" s="10"/>
      <c r="AM722" s="10"/>
      <c r="AN722" s="10"/>
    </row>
    <row r="723" spans="1:40" ht="19" customHeight="1" x14ac:dyDescent="0.15">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c r="AI723" s="10"/>
      <c r="AJ723" s="10"/>
      <c r="AK723" s="10"/>
      <c r="AL723" s="10"/>
      <c r="AM723" s="10"/>
      <c r="AN723" s="10"/>
    </row>
    <row r="724" spans="1:40" ht="19" customHeight="1" x14ac:dyDescent="0.15">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c r="AM724" s="10"/>
      <c r="AN724" s="10"/>
    </row>
    <row r="725" spans="1:40" ht="19" customHeight="1" x14ac:dyDescent="0.15">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c r="AM725" s="10"/>
      <c r="AN725" s="10"/>
    </row>
    <row r="726" spans="1:40" ht="19" customHeight="1" x14ac:dyDescent="0.15">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c r="AM726" s="10"/>
      <c r="AN726" s="10"/>
    </row>
    <row r="727" spans="1:40" ht="19" customHeight="1" x14ac:dyDescent="0.15">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c r="AN727" s="10"/>
    </row>
    <row r="728" spans="1:40" ht="19" customHeight="1" x14ac:dyDescent="0.15">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c r="AM728" s="10"/>
      <c r="AN728" s="10"/>
    </row>
    <row r="729" spans="1:40" ht="19" customHeight="1" x14ac:dyDescent="0.15">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c r="AM729" s="10"/>
      <c r="AN729" s="10"/>
    </row>
    <row r="730" spans="1:40" ht="19" customHeight="1" x14ac:dyDescent="0.15">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c r="AM730" s="10"/>
      <c r="AN730" s="10"/>
    </row>
    <row r="731" spans="1:40" ht="19" customHeight="1" x14ac:dyDescent="0.15">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c r="AM731" s="10"/>
      <c r="AN731" s="10"/>
    </row>
    <row r="732" spans="1:40" ht="19" customHeight="1" x14ac:dyDescent="0.15">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c r="AM732" s="10"/>
      <c r="AN732" s="10"/>
    </row>
    <row r="733" spans="1:40" ht="19" customHeight="1" x14ac:dyDescent="0.15">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c r="AM733" s="10"/>
      <c r="AN733" s="10"/>
    </row>
    <row r="734" spans="1:40" ht="19" customHeight="1" x14ac:dyDescent="0.15">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c r="AI734" s="10"/>
      <c r="AJ734" s="10"/>
      <c r="AK734" s="10"/>
      <c r="AL734" s="10"/>
      <c r="AM734" s="10"/>
      <c r="AN734" s="10"/>
    </row>
    <row r="735" spans="1:40" ht="19" customHeight="1" x14ac:dyDescent="0.15">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c r="AI735" s="10"/>
      <c r="AJ735" s="10"/>
      <c r="AK735" s="10"/>
      <c r="AL735" s="10"/>
      <c r="AM735" s="10"/>
      <c r="AN735" s="10"/>
    </row>
    <row r="736" spans="1:40" ht="19" customHeight="1" x14ac:dyDescent="0.15">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c r="AI736" s="10"/>
      <c r="AJ736" s="10"/>
      <c r="AK736" s="10"/>
      <c r="AL736" s="10"/>
      <c r="AM736" s="10"/>
      <c r="AN736" s="10"/>
    </row>
    <row r="737" spans="1:40" ht="19" customHeight="1" x14ac:dyDescent="0.15">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c r="AI737" s="10"/>
      <c r="AJ737" s="10"/>
      <c r="AK737" s="10"/>
      <c r="AL737" s="10"/>
      <c r="AM737" s="10"/>
      <c r="AN737" s="10"/>
    </row>
    <row r="738" spans="1:40" ht="19" customHeight="1" x14ac:dyDescent="0.15">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c r="AI738" s="10"/>
      <c r="AJ738" s="10"/>
      <c r="AK738" s="10"/>
      <c r="AL738" s="10"/>
      <c r="AM738" s="10"/>
      <c r="AN738" s="10"/>
    </row>
    <row r="739" spans="1:40" ht="19" customHeight="1" x14ac:dyDescent="0.15">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c r="AI739" s="10"/>
      <c r="AJ739" s="10"/>
      <c r="AK739" s="10"/>
      <c r="AL739" s="10"/>
      <c r="AM739" s="10"/>
      <c r="AN739" s="10"/>
    </row>
    <row r="740" spans="1:40" ht="19" customHeight="1" x14ac:dyDescent="0.15">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c r="AI740" s="10"/>
      <c r="AJ740" s="10"/>
      <c r="AK740" s="10"/>
      <c r="AL740" s="10"/>
      <c r="AM740" s="10"/>
      <c r="AN740" s="10"/>
    </row>
    <row r="741" spans="1:40" ht="19" customHeight="1" x14ac:dyDescent="0.15">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c r="AI741" s="10"/>
      <c r="AJ741" s="10"/>
      <c r="AK741" s="10"/>
      <c r="AL741" s="10"/>
      <c r="AM741" s="10"/>
      <c r="AN741" s="10"/>
    </row>
    <row r="742" spans="1:40" ht="19" customHeight="1" x14ac:dyDescent="0.15">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c r="AI742" s="10"/>
      <c r="AJ742" s="10"/>
      <c r="AK742" s="10"/>
      <c r="AL742" s="10"/>
      <c r="AM742" s="10"/>
      <c r="AN742" s="10"/>
    </row>
    <row r="743" spans="1:40" ht="19" customHeight="1" x14ac:dyDescent="0.15">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c r="AI743" s="10"/>
      <c r="AJ743" s="10"/>
      <c r="AK743" s="10"/>
      <c r="AL743" s="10"/>
      <c r="AM743" s="10"/>
      <c r="AN743" s="10"/>
    </row>
    <row r="744" spans="1:40" ht="19" customHeight="1" x14ac:dyDescent="0.15">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c r="AI744" s="10"/>
      <c r="AJ744" s="10"/>
      <c r="AK744" s="10"/>
      <c r="AL744" s="10"/>
      <c r="AM744" s="10"/>
      <c r="AN744" s="10"/>
    </row>
    <row r="745" spans="1:40" ht="19" customHeight="1" x14ac:dyDescent="0.15">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c r="AI745" s="10"/>
      <c r="AJ745" s="10"/>
      <c r="AK745" s="10"/>
      <c r="AL745" s="10"/>
      <c r="AM745" s="10"/>
      <c r="AN745" s="10"/>
    </row>
    <row r="746" spans="1:40" ht="19" customHeight="1" x14ac:dyDescent="0.15">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c r="AI746" s="10"/>
      <c r="AJ746" s="10"/>
      <c r="AK746" s="10"/>
      <c r="AL746" s="10"/>
      <c r="AM746" s="10"/>
      <c r="AN746" s="10"/>
    </row>
    <row r="747" spans="1:40" ht="19" customHeight="1" x14ac:dyDescent="0.15">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c r="AI747" s="10"/>
      <c r="AJ747" s="10"/>
      <c r="AK747" s="10"/>
      <c r="AL747" s="10"/>
      <c r="AM747" s="10"/>
      <c r="AN747" s="10"/>
    </row>
    <row r="748" spans="1:40" ht="19" customHeight="1" x14ac:dyDescent="0.15">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c r="AI748" s="10"/>
      <c r="AJ748" s="10"/>
      <c r="AK748" s="10"/>
      <c r="AL748" s="10"/>
      <c r="AM748" s="10"/>
      <c r="AN748" s="10"/>
    </row>
    <row r="749" spans="1:40" ht="19" customHeight="1" x14ac:dyDescent="0.15">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c r="AI749" s="10"/>
      <c r="AJ749" s="10"/>
      <c r="AK749" s="10"/>
      <c r="AL749" s="10"/>
      <c r="AM749" s="10"/>
      <c r="AN749" s="10"/>
    </row>
    <row r="750" spans="1:40" ht="19" customHeight="1" x14ac:dyDescent="0.15">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c r="AI750" s="10"/>
      <c r="AJ750" s="10"/>
      <c r="AK750" s="10"/>
      <c r="AL750" s="10"/>
      <c r="AM750" s="10"/>
      <c r="AN750" s="10"/>
    </row>
    <row r="751" spans="1:40" ht="19" customHeight="1" x14ac:dyDescent="0.15">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c r="AI751" s="10"/>
      <c r="AJ751" s="10"/>
      <c r="AK751" s="10"/>
      <c r="AL751" s="10"/>
      <c r="AM751" s="10"/>
      <c r="AN751" s="10"/>
    </row>
    <row r="752" spans="1:40" ht="19" customHeight="1" x14ac:dyDescent="0.15">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c r="AI752" s="10"/>
      <c r="AJ752" s="10"/>
      <c r="AK752" s="10"/>
      <c r="AL752" s="10"/>
      <c r="AM752" s="10"/>
      <c r="AN752" s="10"/>
    </row>
    <row r="753" spans="1:40" ht="19" customHeight="1" x14ac:dyDescent="0.15">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0"/>
      <c r="AH753" s="10"/>
      <c r="AI753" s="10"/>
      <c r="AJ753" s="10"/>
      <c r="AK753" s="10"/>
      <c r="AL753" s="10"/>
      <c r="AM753" s="10"/>
      <c r="AN753" s="10"/>
    </row>
    <row r="754" spans="1:40" ht="19" customHeight="1" x14ac:dyDescent="0.15">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0"/>
      <c r="AH754" s="10"/>
      <c r="AI754" s="10"/>
      <c r="AJ754" s="10"/>
      <c r="AK754" s="10"/>
      <c r="AL754" s="10"/>
      <c r="AM754" s="10"/>
      <c r="AN754" s="10"/>
    </row>
    <row r="755" spans="1:40" ht="19" customHeight="1" x14ac:dyDescent="0.15">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0"/>
      <c r="AH755" s="10"/>
      <c r="AI755" s="10"/>
      <c r="AJ755" s="10"/>
      <c r="AK755" s="10"/>
      <c r="AL755" s="10"/>
      <c r="AM755" s="10"/>
      <c r="AN755" s="10"/>
    </row>
    <row r="756" spans="1:40" ht="19" customHeight="1" x14ac:dyDescent="0.15">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c r="AN756" s="10"/>
    </row>
    <row r="757" spans="1:40" ht="19" customHeight="1" x14ac:dyDescent="0.15">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0"/>
      <c r="AH757" s="10"/>
      <c r="AI757" s="10"/>
      <c r="AJ757" s="10"/>
      <c r="AK757" s="10"/>
      <c r="AL757" s="10"/>
      <c r="AM757" s="10"/>
      <c r="AN757" s="10"/>
    </row>
    <row r="758" spans="1:40" ht="19" customHeight="1" x14ac:dyDescent="0.15">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0"/>
      <c r="AH758" s="10"/>
      <c r="AI758" s="10"/>
      <c r="AJ758" s="10"/>
      <c r="AK758" s="10"/>
      <c r="AL758" s="10"/>
      <c r="AM758" s="10"/>
      <c r="AN758" s="10"/>
    </row>
    <row r="759" spans="1:40" ht="19" customHeight="1" x14ac:dyDescent="0.15">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0"/>
      <c r="AH759" s="10"/>
      <c r="AI759" s="10"/>
      <c r="AJ759" s="10"/>
      <c r="AK759" s="10"/>
      <c r="AL759" s="10"/>
      <c r="AM759" s="10"/>
      <c r="AN759" s="10"/>
    </row>
    <row r="760" spans="1:40" ht="19" customHeight="1" x14ac:dyDescent="0.15">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0"/>
      <c r="AH760" s="10"/>
      <c r="AI760" s="10"/>
      <c r="AJ760" s="10"/>
      <c r="AK760" s="10"/>
      <c r="AL760" s="10"/>
      <c r="AM760" s="10"/>
      <c r="AN760" s="10"/>
    </row>
    <row r="761" spans="1:40" ht="19" customHeight="1" x14ac:dyDescent="0.15">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10"/>
      <c r="AH761" s="10"/>
      <c r="AI761" s="10"/>
      <c r="AJ761" s="10"/>
      <c r="AK761" s="10"/>
      <c r="AL761" s="10"/>
      <c r="AM761" s="10"/>
      <c r="AN761" s="10"/>
    </row>
    <row r="762" spans="1:40" ht="19" customHeight="1" x14ac:dyDescent="0.15">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0"/>
      <c r="AH762" s="10"/>
      <c r="AI762" s="10"/>
      <c r="AJ762" s="10"/>
      <c r="AK762" s="10"/>
      <c r="AL762" s="10"/>
      <c r="AM762" s="10"/>
      <c r="AN762" s="10"/>
    </row>
    <row r="763" spans="1:40" ht="19" customHeight="1" x14ac:dyDescent="0.15">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0"/>
      <c r="AH763" s="10"/>
      <c r="AI763" s="10"/>
      <c r="AJ763" s="10"/>
      <c r="AK763" s="10"/>
      <c r="AL763" s="10"/>
      <c r="AM763" s="10"/>
      <c r="AN763" s="10"/>
    </row>
    <row r="764" spans="1:40" ht="19" customHeight="1" x14ac:dyDescent="0.15">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0"/>
      <c r="AH764" s="10"/>
      <c r="AI764" s="10"/>
      <c r="AJ764" s="10"/>
      <c r="AK764" s="10"/>
      <c r="AL764" s="10"/>
      <c r="AM764" s="10"/>
      <c r="AN764" s="10"/>
    </row>
    <row r="765" spans="1:40" ht="19" customHeight="1" x14ac:dyDescent="0.15">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0"/>
      <c r="AH765" s="10"/>
      <c r="AI765" s="10"/>
      <c r="AJ765" s="10"/>
      <c r="AK765" s="10"/>
      <c r="AL765" s="10"/>
      <c r="AM765" s="10"/>
      <c r="AN765" s="10"/>
    </row>
    <row r="766" spans="1:40" ht="19" customHeight="1" x14ac:dyDescent="0.15">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0"/>
      <c r="AH766" s="10"/>
      <c r="AI766" s="10"/>
      <c r="AJ766" s="10"/>
      <c r="AK766" s="10"/>
      <c r="AL766" s="10"/>
      <c r="AM766" s="10"/>
      <c r="AN766" s="10"/>
    </row>
    <row r="767" spans="1:40" ht="19" customHeight="1" x14ac:dyDescent="0.15">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0"/>
      <c r="AH767" s="10"/>
      <c r="AI767" s="10"/>
      <c r="AJ767" s="10"/>
      <c r="AK767" s="10"/>
      <c r="AL767" s="10"/>
      <c r="AM767" s="10"/>
      <c r="AN767" s="10"/>
    </row>
    <row r="768" spans="1:40" ht="19" customHeight="1" x14ac:dyDescent="0.15">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0"/>
      <c r="AH768" s="10"/>
      <c r="AI768" s="10"/>
      <c r="AJ768" s="10"/>
      <c r="AK768" s="10"/>
      <c r="AL768" s="10"/>
      <c r="AM768" s="10"/>
      <c r="AN768" s="10"/>
    </row>
    <row r="769" spans="1:40" ht="19" customHeight="1" x14ac:dyDescent="0.15">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0"/>
      <c r="AH769" s="10"/>
      <c r="AI769" s="10"/>
      <c r="AJ769" s="10"/>
      <c r="AK769" s="10"/>
      <c r="AL769" s="10"/>
      <c r="AM769" s="10"/>
      <c r="AN769" s="10"/>
    </row>
    <row r="770" spans="1:40" ht="19" customHeight="1" x14ac:dyDescent="0.15">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0"/>
      <c r="AH770" s="10"/>
      <c r="AI770" s="10"/>
      <c r="AJ770" s="10"/>
      <c r="AK770" s="10"/>
      <c r="AL770" s="10"/>
      <c r="AM770" s="10"/>
      <c r="AN770" s="10"/>
    </row>
    <row r="771" spans="1:40" ht="19" customHeight="1" x14ac:dyDescent="0.15">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0"/>
      <c r="AH771" s="10"/>
      <c r="AI771" s="10"/>
      <c r="AJ771" s="10"/>
      <c r="AK771" s="10"/>
      <c r="AL771" s="10"/>
      <c r="AM771" s="10"/>
      <c r="AN771" s="10"/>
    </row>
    <row r="772" spans="1:40" ht="19" customHeight="1" x14ac:dyDescent="0.15">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0"/>
      <c r="AH772" s="10"/>
      <c r="AI772" s="10"/>
      <c r="AJ772" s="10"/>
      <c r="AK772" s="10"/>
      <c r="AL772" s="10"/>
      <c r="AM772" s="10"/>
      <c r="AN772" s="10"/>
    </row>
    <row r="773" spans="1:40" ht="19" customHeight="1" x14ac:dyDescent="0.15">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0"/>
      <c r="AH773" s="10"/>
      <c r="AI773" s="10"/>
      <c r="AJ773" s="10"/>
      <c r="AK773" s="10"/>
      <c r="AL773" s="10"/>
      <c r="AM773" s="10"/>
      <c r="AN773" s="10"/>
    </row>
    <row r="774" spans="1:40" ht="19" customHeight="1" x14ac:dyDescent="0.15">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0"/>
      <c r="AH774" s="10"/>
      <c r="AI774" s="10"/>
      <c r="AJ774" s="10"/>
      <c r="AK774" s="10"/>
      <c r="AL774" s="10"/>
      <c r="AM774" s="10"/>
      <c r="AN774" s="10"/>
    </row>
    <row r="775" spans="1:40" ht="19" customHeight="1" x14ac:dyDescent="0.15">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0"/>
      <c r="AH775" s="10"/>
      <c r="AI775" s="10"/>
      <c r="AJ775" s="10"/>
      <c r="AK775" s="10"/>
      <c r="AL775" s="10"/>
      <c r="AM775" s="10"/>
      <c r="AN775" s="10"/>
    </row>
    <row r="776" spans="1:40" ht="19" customHeight="1" x14ac:dyDescent="0.15">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0"/>
      <c r="AH776" s="10"/>
      <c r="AI776" s="10"/>
      <c r="AJ776" s="10"/>
      <c r="AK776" s="10"/>
      <c r="AL776" s="10"/>
      <c r="AM776" s="10"/>
      <c r="AN776" s="10"/>
    </row>
    <row r="777" spans="1:40" ht="19" customHeight="1" x14ac:dyDescent="0.15">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0"/>
      <c r="AH777" s="10"/>
      <c r="AI777" s="10"/>
      <c r="AJ777" s="10"/>
      <c r="AK777" s="10"/>
      <c r="AL777" s="10"/>
      <c r="AM777" s="10"/>
      <c r="AN777" s="10"/>
    </row>
    <row r="778" spans="1:40" ht="19" customHeight="1" x14ac:dyDescent="0.15">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0"/>
      <c r="AH778" s="10"/>
      <c r="AI778" s="10"/>
      <c r="AJ778" s="10"/>
      <c r="AK778" s="10"/>
      <c r="AL778" s="10"/>
      <c r="AM778" s="10"/>
      <c r="AN778" s="10"/>
    </row>
    <row r="779" spans="1:40" ht="19" customHeight="1" x14ac:dyDescent="0.15">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0"/>
      <c r="AH779" s="10"/>
      <c r="AI779" s="10"/>
      <c r="AJ779" s="10"/>
      <c r="AK779" s="10"/>
      <c r="AL779" s="10"/>
      <c r="AM779" s="10"/>
      <c r="AN779" s="10"/>
    </row>
    <row r="780" spans="1:40" ht="19" customHeight="1" x14ac:dyDescent="0.15">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0"/>
      <c r="AH780" s="10"/>
      <c r="AI780" s="10"/>
      <c r="AJ780" s="10"/>
      <c r="AK780" s="10"/>
      <c r="AL780" s="10"/>
      <c r="AM780" s="10"/>
      <c r="AN780" s="10"/>
    </row>
    <row r="781" spans="1:40" ht="19" customHeight="1" x14ac:dyDescent="0.15">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0"/>
      <c r="AH781" s="10"/>
      <c r="AI781" s="10"/>
      <c r="AJ781" s="10"/>
      <c r="AK781" s="10"/>
      <c r="AL781" s="10"/>
      <c r="AM781" s="10"/>
      <c r="AN781" s="10"/>
    </row>
    <row r="782" spans="1:40" ht="19" customHeight="1" x14ac:dyDescent="0.15">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10"/>
      <c r="AH782" s="10"/>
      <c r="AI782" s="10"/>
      <c r="AJ782" s="10"/>
      <c r="AK782" s="10"/>
      <c r="AL782" s="10"/>
      <c r="AM782" s="10"/>
      <c r="AN782" s="10"/>
    </row>
    <row r="783" spans="1:40" ht="19" customHeight="1" x14ac:dyDescent="0.15">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c r="AM783" s="10"/>
      <c r="AN783" s="10"/>
    </row>
    <row r="784" spans="1:40" ht="19" customHeight="1" x14ac:dyDescent="0.15">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c r="AM784" s="10"/>
      <c r="AN784" s="10"/>
    </row>
    <row r="785" spans="1:40" ht="19" customHeight="1" x14ac:dyDescent="0.15">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c r="AM785" s="10"/>
      <c r="AN785" s="10"/>
    </row>
    <row r="786" spans="1:40" ht="19" customHeight="1" x14ac:dyDescent="0.15">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c r="AM786" s="10"/>
      <c r="AN786" s="10"/>
    </row>
    <row r="787" spans="1:40" ht="19" customHeight="1" x14ac:dyDescent="0.15">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c r="AM787" s="10"/>
      <c r="AN787" s="10"/>
    </row>
    <row r="788" spans="1:40" ht="19" customHeight="1" x14ac:dyDescent="0.15">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c r="AM788" s="10"/>
      <c r="AN788" s="10"/>
    </row>
    <row r="789" spans="1:40" ht="19" customHeight="1" x14ac:dyDescent="0.15">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c r="AM789" s="10"/>
      <c r="AN789" s="10"/>
    </row>
    <row r="790" spans="1:40" ht="19" customHeight="1" x14ac:dyDescent="0.15">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c r="AM790" s="10"/>
      <c r="AN790" s="10"/>
    </row>
    <row r="791" spans="1:40" ht="19" customHeight="1" x14ac:dyDescent="0.15">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c r="AM791" s="10"/>
      <c r="AN791" s="10"/>
    </row>
    <row r="792" spans="1:40" ht="19" customHeight="1" x14ac:dyDescent="0.15">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c r="AM792" s="10"/>
      <c r="AN792" s="10"/>
    </row>
    <row r="793" spans="1:40" ht="19" customHeight="1" x14ac:dyDescent="0.15">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0"/>
      <c r="AH793" s="10"/>
      <c r="AI793" s="10"/>
      <c r="AJ793" s="10"/>
      <c r="AK793" s="10"/>
      <c r="AL793" s="10"/>
      <c r="AM793" s="10"/>
      <c r="AN793" s="10"/>
    </row>
    <row r="794" spans="1:40" ht="19" customHeight="1" x14ac:dyDescent="0.15">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0"/>
      <c r="AH794" s="10"/>
      <c r="AI794" s="10"/>
      <c r="AJ794" s="10"/>
      <c r="AK794" s="10"/>
      <c r="AL794" s="10"/>
      <c r="AM794" s="10"/>
      <c r="AN794" s="10"/>
    </row>
    <row r="795" spans="1:40" ht="19" customHeight="1" x14ac:dyDescent="0.15">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0"/>
      <c r="AH795" s="10"/>
      <c r="AI795" s="10"/>
      <c r="AJ795" s="10"/>
      <c r="AK795" s="10"/>
      <c r="AL795" s="10"/>
      <c r="AM795" s="10"/>
      <c r="AN795" s="10"/>
    </row>
    <row r="796" spans="1:40" ht="19" customHeight="1" x14ac:dyDescent="0.15">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0"/>
      <c r="AH796" s="10"/>
      <c r="AI796" s="10"/>
      <c r="AJ796" s="10"/>
      <c r="AK796" s="10"/>
      <c r="AL796" s="10"/>
      <c r="AM796" s="10"/>
      <c r="AN796" s="10"/>
    </row>
    <row r="797" spans="1:40" ht="19" customHeight="1" x14ac:dyDescent="0.15">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0"/>
      <c r="AH797" s="10"/>
      <c r="AI797" s="10"/>
      <c r="AJ797" s="10"/>
      <c r="AK797" s="10"/>
      <c r="AL797" s="10"/>
      <c r="AM797" s="10"/>
      <c r="AN797" s="10"/>
    </row>
    <row r="798" spans="1:40" ht="19" customHeight="1" x14ac:dyDescent="0.15">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0"/>
      <c r="AH798" s="10"/>
      <c r="AI798" s="10"/>
      <c r="AJ798" s="10"/>
      <c r="AK798" s="10"/>
      <c r="AL798" s="10"/>
      <c r="AM798" s="10"/>
      <c r="AN798" s="10"/>
    </row>
    <row r="799" spans="1:40" ht="19" customHeight="1" x14ac:dyDescent="0.15">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0"/>
      <c r="AH799" s="10"/>
      <c r="AI799" s="10"/>
      <c r="AJ799" s="10"/>
      <c r="AK799" s="10"/>
      <c r="AL799" s="10"/>
      <c r="AM799" s="10"/>
      <c r="AN799" s="10"/>
    </row>
    <row r="800" spans="1:40" ht="19" customHeight="1" x14ac:dyDescent="0.15">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0"/>
      <c r="AH800" s="10"/>
      <c r="AI800" s="10"/>
      <c r="AJ800" s="10"/>
      <c r="AK800" s="10"/>
      <c r="AL800" s="10"/>
      <c r="AM800" s="10"/>
      <c r="AN800" s="10"/>
    </row>
    <row r="801" spans="1:40" ht="19" customHeight="1" x14ac:dyDescent="0.15">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0"/>
      <c r="AH801" s="10"/>
      <c r="AI801" s="10"/>
      <c r="AJ801" s="10"/>
      <c r="AK801" s="10"/>
      <c r="AL801" s="10"/>
      <c r="AM801" s="10"/>
      <c r="AN801" s="10"/>
    </row>
    <row r="802" spans="1:40" ht="19" customHeight="1" x14ac:dyDescent="0.15">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0"/>
      <c r="AH802" s="10"/>
      <c r="AI802" s="10"/>
      <c r="AJ802" s="10"/>
      <c r="AK802" s="10"/>
      <c r="AL802" s="10"/>
      <c r="AM802" s="10"/>
      <c r="AN802" s="10"/>
    </row>
    <row r="803" spans="1:40" ht="19" customHeight="1" x14ac:dyDescent="0.15">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0"/>
      <c r="AH803" s="10"/>
      <c r="AI803" s="10"/>
      <c r="AJ803" s="10"/>
      <c r="AK803" s="10"/>
      <c r="AL803" s="10"/>
      <c r="AM803" s="10"/>
      <c r="AN803" s="10"/>
    </row>
    <row r="804" spans="1:40" ht="19" customHeight="1" x14ac:dyDescent="0.15">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0"/>
      <c r="AH804" s="10"/>
      <c r="AI804" s="10"/>
      <c r="AJ804" s="10"/>
      <c r="AK804" s="10"/>
      <c r="AL804" s="10"/>
      <c r="AM804" s="10"/>
      <c r="AN804" s="10"/>
    </row>
    <row r="805" spans="1:40" ht="19" customHeight="1" x14ac:dyDescent="0.15">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0"/>
      <c r="AH805" s="10"/>
      <c r="AI805" s="10"/>
      <c r="AJ805" s="10"/>
      <c r="AK805" s="10"/>
      <c r="AL805" s="10"/>
      <c r="AM805" s="10"/>
      <c r="AN805" s="10"/>
    </row>
    <row r="806" spans="1:40" ht="19" customHeight="1" x14ac:dyDescent="0.15">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c r="AM806" s="10"/>
      <c r="AN806" s="10"/>
    </row>
    <row r="807" spans="1:40" ht="19" customHeight="1" x14ac:dyDescent="0.15">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c r="AN807" s="10"/>
    </row>
    <row r="808" spans="1:40" ht="19" customHeight="1" x14ac:dyDescent="0.15">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c r="AM808" s="10"/>
      <c r="AN808" s="10"/>
    </row>
    <row r="809" spans="1:40" ht="19" customHeight="1" x14ac:dyDescent="0.15">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c r="AM809" s="10"/>
      <c r="AN809" s="10"/>
    </row>
    <row r="810" spans="1:40" ht="19" customHeight="1" x14ac:dyDescent="0.15">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c r="AM810" s="10"/>
      <c r="AN810" s="10"/>
    </row>
    <row r="811" spans="1:40" ht="19" customHeight="1" x14ac:dyDescent="0.15">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c r="AM811" s="10"/>
      <c r="AN811" s="10"/>
    </row>
    <row r="812" spans="1:40" ht="19" customHeight="1" x14ac:dyDescent="0.15">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c r="AM812" s="10"/>
      <c r="AN812" s="10"/>
    </row>
    <row r="813" spans="1:40" ht="19" customHeight="1" x14ac:dyDescent="0.15">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c r="AM813" s="10"/>
      <c r="AN813" s="10"/>
    </row>
    <row r="814" spans="1:40" ht="19" customHeight="1" x14ac:dyDescent="0.15">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c r="AM814" s="10"/>
      <c r="AN814" s="10"/>
    </row>
    <row r="815" spans="1:40" ht="19" customHeight="1" x14ac:dyDescent="0.15">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c r="AM815" s="10"/>
      <c r="AN815" s="10"/>
    </row>
    <row r="816" spans="1:40" ht="19" customHeight="1" x14ac:dyDescent="0.15">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0"/>
      <c r="AH816" s="10"/>
      <c r="AI816" s="10"/>
      <c r="AJ816" s="10"/>
      <c r="AK816" s="10"/>
      <c r="AL816" s="10"/>
      <c r="AM816" s="10"/>
      <c r="AN816" s="10"/>
    </row>
    <row r="817" spans="1:40" ht="19" customHeight="1" x14ac:dyDescent="0.15">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0"/>
      <c r="AH817" s="10"/>
      <c r="AI817" s="10"/>
      <c r="AJ817" s="10"/>
      <c r="AK817" s="10"/>
      <c r="AL817" s="10"/>
      <c r="AM817" s="10"/>
      <c r="AN817" s="10"/>
    </row>
    <row r="818" spans="1:40" ht="19" customHeight="1" x14ac:dyDescent="0.15">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10"/>
      <c r="AH818" s="10"/>
      <c r="AI818" s="10"/>
      <c r="AJ818" s="10"/>
      <c r="AK818" s="10"/>
      <c r="AL818" s="10"/>
      <c r="AM818" s="10"/>
      <c r="AN818" s="10"/>
    </row>
    <row r="819" spans="1:40" ht="19" customHeight="1" x14ac:dyDescent="0.15">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0"/>
      <c r="AH819" s="10"/>
      <c r="AI819" s="10"/>
      <c r="AJ819" s="10"/>
      <c r="AK819" s="10"/>
      <c r="AL819" s="10"/>
      <c r="AM819" s="10"/>
      <c r="AN819" s="10"/>
    </row>
    <row r="820" spans="1:40" ht="19" customHeight="1" x14ac:dyDescent="0.15">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10"/>
      <c r="AH820" s="10"/>
      <c r="AI820" s="10"/>
      <c r="AJ820" s="10"/>
      <c r="AK820" s="10"/>
      <c r="AL820" s="10"/>
      <c r="AM820" s="10"/>
      <c r="AN820" s="10"/>
    </row>
    <row r="821" spans="1:40" ht="19" customHeight="1" x14ac:dyDescent="0.15">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0"/>
      <c r="AH821" s="10"/>
      <c r="AI821" s="10"/>
      <c r="AJ821" s="10"/>
      <c r="AK821" s="10"/>
      <c r="AL821" s="10"/>
      <c r="AM821" s="10"/>
      <c r="AN821" s="10"/>
    </row>
    <row r="822" spans="1:40" ht="19" customHeight="1" x14ac:dyDescent="0.15">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0"/>
      <c r="AH822" s="10"/>
      <c r="AI822" s="10"/>
      <c r="AJ822" s="10"/>
      <c r="AK822" s="10"/>
      <c r="AL822" s="10"/>
      <c r="AM822" s="10"/>
      <c r="AN822" s="10"/>
    </row>
    <row r="823" spans="1:40" ht="19" customHeight="1" x14ac:dyDescent="0.15">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0"/>
      <c r="AH823" s="10"/>
      <c r="AI823" s="10"/>
      <c r="AJ823" s="10"/>
      <c r="AK823" s="10"/>
      <c r="AL823" s="10"/>
      <c r="AM823" s="10"/>
      <c r="AN823" s="10"/>
    </row>
    <row r="824" spans="1:40" ht="19" customHeight="1" x14ac:dyDescent="0.15">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0"/>
      <c r="AH824" s="10"/>
      <c r="AI824" s="10"/>
      <c r="AJ824" s="10"/>
      <c r="AK824" s="10"/>
      <c r="AL824" s="10"/>
      <c r="AM824" s="10"/>
      <c r="AN824" s="10"/>
    </row>
    <row r="825" spans="1:40" ht="19" customHeight="1" x14ac:dyDescent="0.15">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0"/>
      <c r="AH825" s="10"/>
      <c r="AI825" s="10"/>
      <c r="AJ825" s="10"/>
      <c r="AK825" s="10"/>
      <c r="AL825" s="10"/>
      <c r="AM825" s="10"/>
      <c r="AN825" s="10"/>
    </row>
    <row r="826" spans="1:40" ht="19" customHeight="1" x14ac:dyDescent="0.15">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0"/>
      <c r="AH826" s="10"/>
      <c r="AI826" s="10"/>
      <c r="AJ826" s="10"/>
      <c r="AK826" s="10"/>
      <c r="AL826" s="10"/>
      <c r="AM826" s="10"/>
      <c r="AN826" s="10"/>
    </row>
    <row r="827" spans="1:40" ht="19" customHeight="1" x14ac:dyDescent="0.15">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0"/>
      <c r="AH827" s="10"/>
      <c r="AI827" s="10"/>
      <c r="AJ827" s="10"/>
      <c r="AK827" s="10"/>
      <c r="AL827" s="10"/>
      <c r="AM827" s="10"/>
      <c r="AN827" s="10"/>
    </row>
    <row r="828" spans="1:40" ht="19" customHeight="1" x14ac:dyDescent="0.15">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0"/>
      <c r="AH828" s="10"/>
      <c r="AI828" s="10"/>
      <c r="AJ828" s="10"/>
      <c r="AK828" s="10"/>
      <c r="AL828" s="10"/>
      <c r="AM828" s="10"/>
      <c r="AN828" s="10"/>
    </row>
    <row r="829" spans="1:40" ht="19" customHeight="1" x14ac:dyDescent="0.15">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0"/>
      <c r="AH829" s="10"/>
      <c r="AI829" s="10"/>
      <c r="AJ829" s="10"/>
      <c r="AK829" s="10"/>
      <c r="AL829" s="10"/>
      <c r="AM829" s="10"/>
      <c r="AN829" s="10"/>
    </row>
    <row r="830" spans="1:40" ht="19" customHeight="1" x14ac:dyDescent="0.15">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0"/>
      <c r="AH830" s="10"/>
      <c r="AI830" s="10"/>
      <c r="AJ830" s="10"/>
      <c r="AK830" s="10"/>
      <c r="AL830" s="10"/>
      <c r="AM830" s="10"/>
      <c r="AN830" s="10"/>
    </row>
    <row r="831" spans="1:40" ht="19" customHeight="1" x14ac:dyDescent="0.15">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0"/>
      <c r="AH831" s="10"/>
      <c r="AI831" s="10"/>
      <c r="AJ831" s="10"/>
      <c r="AK831" s="10"/>
      <c r="AL831" s="10"/>
      <c r="AM831" s="10"/>
      <c r="AN831" s="10"/>
    </row>
    <row r="832" spans="1:40" ht="19" customHeight="1" x14ac:dyDescent="0.15">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0"/>
      <c r="AH832" s="10"/>
      <c r="AI832" s="10"/>
      <c r="AJ832" s="10"/>
      <c r="AK832" s="10"/>
      <c r="AL832" s="10"/>
      <c r="AM832" s="10"/>
      <c r="AN832" s="10"/>
    </row>
    <row r="833" spans="1:40" ht="19" customHeight="1" x14ac:dyDescent="0.15">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0"/>
      <c r="AH833" s="10"/>
      <c r="AI833" s="10"/>
      <c r="AJ833" s="10"/>
      <c r="AK833" s="10"/>
      <c r="AL833" s="10"/>
      <c r="AM833" s="10"/>
      <c r="AN833" s="10"/>
    </row>
    <row r="834" spans="1:40" ht="19" customHeight="1" x14ac:dyDescent="0.15">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0"/>
      <c r="AH834" s="10"/>
      <c r="AI834" s="10"/>
      <c r="AJ834" s="10"/>
      <c r="AK834" s="10"/>
      <c r="AL834" s="10"/>
      <c r="AM834" s="10"/>
      <c r="AN834" s="10"/>
    </row>
    <row r="835" spans="1:40" ht="19" customHeight="1" x14ac:dyDescent="0.15">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0"/>
      <c r="AH835" s="10"/>
      <c r="AI835" s="10"/>
      <c r="AJ835" s="10"/>
      <c r="AK835" s="10"/>
      <c r="AL835" s="10"/>
      <c r="AM835" s="10"/>
      <c r="AN835" s="10"/>
    </row>
    <row r="836" spans="1:40" ht="19" customHeight="1" x14ac:dyDescent="0.15">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0"/>
      <c r="AH836" s="10"/>
      <c r="AI836" s="10"/>
      <c r="AJ836" s="10"/>
      <c r="AK836" s="10"/>
      <c r="AL836" s="10"/>
      <c r="AM836" s="10"/>
      <c r="AN836" s="10"/>
    </row>
    <row r="837" spans="1:40" ht="19" customHeight="1" x14ac:dyDescent="0.15">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0"/>
      <c r="AH837" s="10"/>
      <c r="AI837" s="10"/>
      <c r="AJ837" s="10"/>
      <c r="AK837" s="10"/>
      <c r="AL837" s="10"/>
      <c r="AM837" s="10"/>
      <c r="AN837" s="10"/>
    </row>
    <row r="838" spans="1:40" ht="19" customHeight="1" x14ac:dyDescent="0.15">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0"/>
      <c r="AH838" s="10"/>
      <c r="AI838" s="10"/>
      <c r="AJ838" s="10"/>
      <c r="AK838" s="10"/>
      <c r="AL838" s="10"/>
      <c r="AM838" s="10"/>
      <c r="AN838" s="10"/>
    </row>
    <row r="839" spans="1:40" ht="19" customHeight="1" x14ac:dyDescent="0.15">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0"/>
      <c r="AH839" s="10"/>
      <c r="AI839" s="10"/>
      <c r="AJ839" s="10"/>
      <c r="AK839" s="10"/>
      <c r="AL839" s="10"/>
      <c r="AM839" s="10"/>
      <c r="AN839" s="10"/>
    </row>
    <row r="840" spans="1:40" ht="19" customHeight="1" x14ac:dyDescent="0.15">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10"/>
      <c r="AH840" s="10"/>
      <c r="AI840" s="10"/>
      <c r="AJ840" s="10"/>
      <c r="AK840" s="10"/>
      <c r="AL840" s="10"/>
      <c r="AM840" s="10"/>
      <c r="AN840" s="10"/>
    </row>
    <row r="841" spans="1:40" ht="19" customHeight="1" x14ac:dyDescent="0.15">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0"/>
      <c r="AH841" s="10"/>
      <c r="AI841" s="10"/>
      <c r="AJ841" s="10"/>
      <c r="AK841" s="10"/>
      <c r="AL841" s="10"/>
      <c r="AM841" s="10"/>
      <c r="AN841" s="10"/>
    </row>
    <row r="842" spans="1:40" ht="19" customHeight="1" x14ac:dyDescent="0.15">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0"/>
      <c r="AH842" s="10"/>
      <c r="AI842" s="10"/>
      <c r="AJ842" s="10"/>
      <c r="AK842" s="10"/>
      <c r="AL842" s="10"/>
      <c r="AM842" s="10"/>
      <c r="AN842" s="10"/>
    </row>
    <row r="843" spans="1:40" ht="19" customHeight="1" x14ac:dyDescent="0.15">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0"/>
      <c r="AH843" s="10"/>
      <c r="AI843" s="10"/>
      <c r="AJ843" s="10"/>
      <c r="AK843" s="10"/>
      <c r="AL843" s="10"/>
      <c r="AM843" s="10"/>
      <c r="AN843" s="10"/>
    </row>
    <row r="844" spans="1:40" ht="19" customHeight="1" x14ac:dyDescent="0.15">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0"/>
      <c r="AH844" s="10"/>
      <c r="AI844" s="10"/>
      <c r="AJ844" s="10"/>
      <c r="AK844" s="10"/>
      <c r="AL844" s="10"/>
      <c r="AM844" s="10"/>
      <c r="AN844" s="10"/>
    </row>
    <row r="845" spans="1:40" ht="19" customHeight="1" x14ac:dyDescent="0.15">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0"/>
      <c r="AH845" s="10"/>
      <c r="AI845" s="10"/>
      <c r="AJ845" s="10"/>
      <c r="AK845" s="10"/>
      <c r="AL845" s="10"/>
      <c r="AM845" s="10"/>
      <c r="AN845" s="10"/>
    </row>
    <row r="846" spans="1:40" ht="19" customHeight="1" x14ac:dyDescent="0.15">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0"/>
      <c r="AH846" s="10"/>
      <c r="AI846" s="10"/>
      <c r="AJ846" s="10"/>
      <c r="AK846" s="10"/>
      <c r="AL846" s="10"/>
      <c r="AM846" s="10"/>
      <c r="AN846" s="10"/>
    </row>
    <row r="847" spans="1:40" ht="19" customHeight="1" x14ac:dyDescent="0.15">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0"/>
      <c r="AH847" s="10"/>
      <c r="AI847" s="10"/>
      <c r="AJ847" s="10"/>
      <c r="AK847" s="10"/>
      <c r="AL847" s="10"/>
      <c r="AM847" s="10"/>
      <c r="AN847" s="10"/>
    </row>
    <row r="848" spans="1:40" ht="19" customHeight="1" x14ac:dyDescent="0.15">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0"/>
      <c r="AH848" s="10"/>
      <c r="AI848" s="10"/>
      <c r="AJ848" s="10"/>
      <c r="AK848" s="10"/>
      <c r="AL848" s="10"/>
      <c r="AM848" s="10"/>
      <c r="AN848" s="10"/>
    </row>
    <row r="849" spans="1:40" ht="19" customHeight="1" x14ac:dyDescent="0.15">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0"/>
      <c r="AH849" s="10"/>
      <c r="AI849" s="10"/>
      <c r="AJ849" s="10"/>
      <c r="AK849" s="10"/>
      <c r="AL849" s="10"/>
      <c r="AM849" s="10"/>
      <c r="AN849" s="10"/>
    </row>
    <row r="850" spans="1:40" ht="19" customHeight="1" x14ac:dyDescent="0.15">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0"/>
      <c r="AH850" s="10"/>
      <c r="AI850" s="10"/>
      <c r="AJ850" s="10"/>
      <c r="AK850" s="10"/>
      <c r="AL850" s="10"/>
      <c r="AM850" s="10"/>
      <c r="AN850" s="10"/>
    </row>
    <row r="851" spans="1:40" ht="19" customHeight="1" x14ac:dyDescent="0.15">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c r="AM851" s="10"/>
      <c r="AN851" s="10"/>
    </row>
    <row r="852" spans="1:40" ht="19" customHeight="1" x14ac:dyDescent="0.15">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c r="AM852" s="10"/>
      <c r="AN852" s="10"/>
    </row>
    <row r="853" spans="1:40" ht="19" customHeight="1" x14ac:dyDescent="0.15">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c r="AM853" s="10"/>
      <c r="AN853" s="10"/>
    </row>
    <row r="854" spans="1:40" ht="19" customHeight="1" x14ac:dyDescent="0.15">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c r="AM854" s="10"/>
      <c r="AN854" s="10"/>
    </row>
    <row r="855" spans="1:40" ht="19" customHeight="1" x14ac:dyDescent="0.15">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c r="AM855" s="10"/>
      <c r="AN855" s="10"/>
    </row>
    <row r="856" spans="1:40" ht="19" customHeight="1" x14ac:dyDescent="0.15">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c r="AM856" s="10"/>
      <c r="AN856" s="10"/>
    </row>
    <row r="857" spans="1:40" ht="19" customHeight="1" x14ac:dyDescent="0.15">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c r="AM857" s="10"/>
      <c r="AN857" s="10"/>
    </row>
    <row r="858" spans="1:40" ht="19" customHeight="1" x14ac:dyDescent="0.15">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c r="AM858" s="10"/>
      <c r="AN858" s="10"/>
    </row>
    <row r="859" spans="1:40" ht="19" customHeight="1" x14ac:dyDescent="0.15">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c r="AM859" s="10"/>
      <c r="AN859" s="10"/>
    </row>
    <row r="860" spans="1:40" ht="19" customHeight="1" x14ac:dyDescent="0.15">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c r="AM860" s="10"/>
      <c r="AN860" s="10"/>
    </row>
    <row r="861" spans="1:40" ht="19" customHeight="1" x14ac:dyDescent="0.15">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0"/>
      <c r="AH861" s="10"/>
      <c r="AI861" s="10"/>
      <c r="AJ861" s="10"/>
      <c r="AK861" s="10"/>
      <c r="AL861" s="10"/>
      <c r="AM861" s="10"/>
      <c r="AN861" s="10"/>
    </row>
    <row r="862" spans="1:40" ht="19" customHeight="1" x14ac:dyDescent="0.15">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10"/>
      <c r="AH862" s="10"/>
      <c r="AI862" s="10"/>
      <c r="AJ862" s="10"/>
      <c r="AK862" s="10"/>
      <c r="AL862" s="10"/>
      <c r="AM862" s="10"/>
      <c r="AN862" s="10"/>
    </row>
    <row r="863" spans="1:40" ht="19" customHeight="1" x14ac:dyDescent="0.15">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0"/>
      <c r="AH863" s="10"/>
      <c r="AI863" s="10"/>
      <c r="AJ863" s="10"/>
      <c r="AK863" s="10"/>
      <c r="AL863" s="10"/>
      <c r="AM863" s="10"/>
      <c r="AN863" s="10"/>
    </row>
    <row r="864" spans="1:40" ht="19" customHeight="1" x14ac:dyDescent="0.15">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0"/>
      <c r="AH864" s="10"/>
      <c r="AI864" s="10"/>
      <c r="AJ864" s="10"/>
      <c r="AK864" s="10"/>
      <c r="AL864" s="10"/>
      <c r="AM864" s="10"/>
      <c r="AN864" s="10"/>
    </row>
    <row r="865" spans="1:40" ht="19" customHeight="1" x14ac:dyDescent="0.15">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0"/>
      <c r="AH865" s="10"/>
      <c r="AI865" s="10"/>
      <c r="AJ865" s="10"/>
      <c r="AK865" s="10"/>
      <c r="AL865" s="10"/>
      <c r="AM865" s="10"/>
      <c r="AN865" s="10"/>
    </row>
    <row r="866" spans="1:40" ht="19" customHeight="1" x14ac:dyDescent="0.15">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0"/>
      <c r="AH866" s="10"/>
      <c r="AI866" s="10"/>
      <c r="AJ866" s="10"/>
      <c r="AK866" s="10"/>
      <c r="AL866" s="10"/>
      <c r="AM866" s="10"/>
      <c r="AN866" s="10"/>
    </row>
    <row r="867" spans="1:40" ht="19" customHeight="1" x14ac:dyDescent="0.15">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0"/>
      <c r="AH867" s="10"/>
      <c r="AI867" s="10"/>
      <c r="AJ867" s="10"/>
      <c r="AK867" s="10"/>
      <c r="AL867" s="10"/>
      <c r="AM867" s="10"/>
      <c r="AN867" s="10"/>
    </row>
    <row r="868" spans="1:40" ht="19" customHeight="1" x14ac:dyDescent="0.15">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0"/>
      <c r="AH868" s="10"/>
      <c r="AI868" s="10"/>
      <c r="AJ868" s="10"/>
      <c r="AK868" s="10"/>
      <c r="AL868" s="10"/>
      <c r="AM868" s="10"/>
      <c r="AN868" s="10"/>
    </row>
    <row r="869" spans="1:40" ht="19" customHeight="1" x14ac:dyDescent="0.15">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0"/>
      <c r="AH869" s="10"/>
      <c r="AI869" s="10"/>
      <c r="AJ869" s="10"/>
      <c r="AK869" s="10"/>
      <c r="AL869" s="10"/>
      <c r="AM869" s="10"/>
      <c r="AN869" s="10"/>
    </row>
    <row r="870" spans="1:40" ht="19" customHeight="1" x14ac:dyDescent="0.15">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0"/>
      <c r="AH870" s="10"/>
      <c r="AI870" s="10"/>
      <c r="AJ870" s="10"/>
      <c r="AK870" s="10"/>
      <c r="AL870" s="10"/>
      <c r="AM870" s="10"/>
      <c r="AN870" s="10"/>
    </row>
    <row r="871" spans="1:40" ht="19" customHeight="1" x14ac:dyDescent="0.15">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0"/>
      <c r="AH871" s="10"/>
      <c r="AI871" s="10"/>
      <c r="AJ871" s="10"/>
      <c r="AK871" s="10"/>
      <c r="AL871" s="10"/>
      <c r="AM871" s="10"/>
      <c r="AN871" s="10"/>
    </row>
    <row r="872" spans="1:40" ht="19" customHeight="1" x14ac:dyDescent="0.15">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0"/>
      <c r="AH872" s="10"/>
      <c r="AI872" s="10"/>
      <c r="AJ872" s="10"/>
      <c r="AK872" s="10"/>
      <c r="AL872" s="10"/>
      <c r="AM872" s="10"/>
      <c r="AN872" s="10"/>
    </row>
    <row r="873" spans="1:40" ht="19" customHeight="1" x14ac:dyDescent="0.15">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10"/>
      <c r="AH873" s="10"/>
      <c r="AI873" s="10"/>
      <c r="AJ873" s="10"/>
      <c r="AK873" s="10"/>
      <c r="AL873" s="10"/>
      <c r="AM873" s="10"/>
      <c r="AN873" s="10"/>
    </row>
    <row r="874" spans="1:40" ht="19" customHeight="1" x14ac:dyDescent="0.15">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0"/>
      <c r="AH874" s="10"/>
      <c r="AI874" s="10"/>
      <c r="AJ874" s="10"/>
      <c r="AK874" s="10"/>
      <c r="AL874" s="10"/>
      <c r="AM874" s="10"/>
      <c r="AN874" s="10"/>
    </row>
    <row r="875" spans="1:40" ht="19" customHeight="1" x14ac:dyDescent="0.15">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0"/>
      <c r="AH875" s="10"/>
      <c r="AI875" s="10"/>
      <c r="AJ875" s="10"/>
      <c r="AK875" s="10"/>
      <c r="AL875" s="10"/>
      <c r="AM875" s="10"/>
      <c r="AN875" s="10"/>
    </row>
    <row r="876" spans="1:40" ht="19" customHeight="1" x14ac:dyDescent="0.15">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0"/>
      <c r="AH876" s="10"/>
      <c r="AI876" s="10"/>
      <c r="AJ876" s="10"/>
      <c r="AK876" s="10"/>
      <c r="AL876" s="10"/>
      <c r="AM876" s="10"/>
      <c r="AN876" s="10"/>
    </row>
    <row r="877" spans="1:40" ht="19" customHeight="1" x14ac:dyDescent="0.15">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0"/>
      <c r="AH877" s="10"/>
      <c r="AI877" s="10"/>
      <c r="AJ877" s="10"/>
      <c r="AK877" s="10"/>
      <c r="AL877" s="10"/>
      <c r="AM877" s="10"/>
      <c r="AN877" s="10"/>
    </row>
    <row r="878" spans="1:40" ht="19" customHeight="1" x14ac:dyDescent="0.15">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0"/>
      <c r="AH878" s="10"/>
      <c r="AI878" s="10"/>
      <c r="AJ878" s="10"/>
      <c r="AK878" s="10"/>
      <c r="AL878" s="10"/>
      <c r="AM878" s="10"/>
      <c r="AN878" s="10"/>
    </row>
    <row r="879" spans="1:40" ht="19" customHeight="1" x14ac:dyDescent="0.15">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0"/>
      <c r="AH879" s="10"/>
      <c r="AI879" s="10"/>
      <c r="AJ879" s="10"/>
      <c r="AK879" s="10"/>
      <c r="AL879" s="10"/>
      <c r="AM879" s="10"/>
      <c r="AN879" s="10"/>
    </row>
    <row r="880" spans="1:40" ht="19" customHeight="1" x14ac:dyDescent="0.15">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row>
    <row r="881" spans="1:40" ht="19" customHeight="1" x14ac:dyDescent="0.15">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0"/>
      <c r="AH881" s="10"/>
      <c r="AI881" s="10"/>
      <c r="AJ881" s="10"/>
      <c r="AK881" s="10"/>
      <c r="AL881" s="10"/>
      <c r="AM881" s="10"/>
      <c r="AN881" s="10"/>
    </row>
    <row r="882" spans="1:40" ht="19" customHeight="1" x14ac:dyDescent="0.15">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0"/>
      <c r="AH882" s="10"/>
      <c r="AI882" s="10"/>
      <c r="AJ882" s="10"/>
      <c r="AK882" s="10"/>
      <c r="AL882" s="10"/>
      <c r="AM882" s="10"/>
      <c r="AN882" s="10"/>
    </row>
    <row r="883" spans="1:40" ht="19" customHeight="1" x14ac:dyDescent="0.15">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0"/>
      <c r="AH883" s="10"/>
      <c r="AI883" s="10"/>
      <c r="AJ883" s="10"/>
      <c r="AK883" s="10"/>
      <c r="AL883" s="10"/>
      <c r="AM883" s="10"/>
      <c r="AN883" s="10"/>
    </row>
    <row r="884" spans="1:40" ht="19" customHeight="1" x14ac:dyDescent="0.15">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10"/>
      <c r="AH884" s="10"/>
      <c r="AI884" s="10"/>
      <c r="AJ884" s="10"/>
      <c r="AK884" s="10"/>
      <c r="AL884" s="10"/>
      <c r="AM884" s="10"/>
      <c r="AN884" s="10"/>
    </row>
    <row r="885" spans="1:40" ht="19" customHeight="1" x14ac:dyDescent="0.15">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0"/>
      <c r="AH885" s="10"/>
      <c r="AI885" s="10"/>
      <c r="AJ885" s="10"/>
      <c r="AK885" s="10"/>
      <c r="AL885" s="10"/>
      <c r="AM885" s="10"/>
      <c r="AN885" s="10"/>
    </row>
    <row r="886" spans="1:40" ht="19" customHeight="1" x14ac:dyDescent="0.15">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0"/>
      <c r="AH886" s="10"/>
      <c r="AI886" s="10"/>
      <c r="AJ886" s="10"/>
      <c r="AK886" s="10"/>
      <c r="AL886" s="10"/>
      <c r="AM886" s="10"/>
      <c r="AN886" s="10"/>
    </row>
    <row r="887" spans="1:40" ht="19" customHeight="1" x14ac:dyDescent="0.15">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0"/>
      <c r="AH887" s="10"/>
      <c r="AI887" s="10"/>
      <c r="AJ887" s="10"/>
      <c r="AK887" s="10"/>
      <c r="AL887" s="10"/>
      <c r="AM887" s="10"/>
      <c r="AN887" s="10"/>
    </row>
    <row r="888" spans="1:40" ht="19" customHeight="1" x14ac:dyDescent="0.15">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0"/>
      <c r="AH888" s="10"/>
      <c r="AI888" s="10"/>
      <c r="AJ888" s="10"/>
      <c r="AK888" s="10"/>
      <c r="AL888" s="10"/>
      <c r="AM888" s="10"/>
      <c r="AN888" s="10"/>
    </row>
    <row r="889" spans="1:40" ht="19" customHeight="1" x14ac:dyDescent="0.15">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0"/>
      <c r="AH889" s="10"/>
      <c r="AI889" s="10"/>
      <c r="AJ889" s="10"/>
      <c r="AK889" s="10"/>
      <c r="AL889" s="10"/>
      <c r="AM889" s="10"/>
      <c r="AN889" s="10"/>
    </row>
    <row r="890" spans="1:40" ht="19" customHeight="1" x14ac:dyDescent="0.15">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10"/>
      <c r="AH890" s="10"/>
      <c r="AI890" s="10"/>
      <c r="AJ890" s="10"/>
      <c r="AK890" s="10"/>
      <c r="AL890" s="10"/>
      <c r="AM890" s="10"/>
      <c r="AN890" s="10"/>
    </row>
    <row r="891" spans="1:40" ht="19" customHeight="1" x14ac:dyDescent="0.15">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0"/>
      <c r="AH891" s="10"/>
      <c r="AI891" s="10"/>
      <c r="AJ891" s="10"/>
      <c r="AK891" s="10"/>
      <c r="AL891" s="10"/>
      <c r="AM891" s="10"/>
      <c r="AN891" s="10"/>
    </row>
    <row r="892" spans="1:40" ht="19" customHeight="1" x14ac:dyDescent="0.15">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0"/>
      <c r="AH892" s="10"/>
      <c r="AI892" s="10"/>
      <c r="AJ892" s="10"/>
      <c r="AK892" s="10"/>
      <c r="AL892" s="10"/>
      <c r="AM892" s="10"/>
      <c r="AN892" s="10"/>
    </row>
    <row r="893" spans="1:40" ht="19" customHeight="1" x14ac:dyDescent="0.15">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0"/>
      <c r="AH893" s="10"/>
      <c r="AI893" s="10"/>
      <c r="AJ893" s="10"/>
      <c r="AK893" s="10"/>
      <c r="AL893" s="10"/>
      <c r="AM893" s="10"/>
      <c r="AN893" s="10"/>
    </row>
    <row r="894" spans="1:40" ht="19" customHeight="1" x14ac:dyDescent="0.15">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0"/>
      <c r="AH894" s="10"/>
      <c r="AI894" s="10"/>
      <c r="AJ894" s="10"/>
      <c r="AK894" s="10"/>
      <c r="AL894" s="10"/>
      <c r="AM894" s="10"/>
      <c r="AN894" s="10"/>
    </row>
    <row r="895" spans="1:40" ht="19" customHeight="1" x14ac:dyDescent="0.15">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0"/>
      <c r="AH895" s="10"/>
      <c r="AI895" s="10"/>
      <c r="AJ895" s="10"/>
      <c r="AK895" s="10"/>
      <c r="AL895" s="10"/>
      <c r="AM895" s="10"/>
      <c r="AN895" s="10"/>
    </row>
    <row r="896" spans="1:40" ht="19" customHeight="1" x14ac:dyDescent="0.15">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0"/>
      <c r="AH896" s="10"/>
      <c r="AI896" s="10"/>
      <c r="AJ896" s="10"/>
      <c r="AK896" s="10"/>
      <c r="AL896" s="10"/>
      <c r="AM896" s="10"/>
      <c r="AN896" s="10"/>
    </row>
    <row r="897" spans="1:40" ht="19" customHeight="1" x14ac:dyDescent="0.15">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row>
    <row r="898" spans="1:40" ht="19" customHeight="1" x14ac:dyDescent="0.15">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0"/>
      <c r="AH898" s="10"/>
      <c r="AI898" s="10"/>
      <c r="AJ898" s="10"/>
      <c r="AK898" s="10"/>
      <c r="AL898" s="10"/>
      <c r="AM898" s="10"/>
      <c r="AN898" s="10"/>
    </row>
    <row r="899" spans="1:40" ht="19" customHeight="1" x14ac:dyDescent="0.15">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0"/>
      <c r="AH899" s="10"/>
      <c r="AI899" s="10"/>
      <c r="AJ899" s="10"/>
      <c r="AK899" s="10"/>
      <c r="AL899" s="10"/>
      <c r="AM899" s="10"/>
      <c r="AN899" s="10"/>
    </row>
    <row r="900" spans="1:40" ht="19" customHeight="1" x14ac:dyDescent="0.15">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0"/>
      <c r="AH900" s="10"/>
      <c r="AI900" s="10"/>
      <c r="AJ900" s="10"/>
      <c r="AK900" s="10"/>
      <c r="AL900" s="10"/>
      <c r="AM900" s="10"/>
      <c r="AN900" s="10"/>
    </row>
    <row r="901" spans="1:40" ht="19" customHeight="1" x14ac:dyDescent="0.15">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0"/>
      <c r="AH901" s="10"/>
      <c r="AI901" s="10"/>
      <c r="AJ901" s="10"/>
      <c r="AK901" s="10"/>
      <c r="AL901" s="10"/>
      <c r="AM901" s="10"/>
      <c r="AN901" s="10"/>
    </row>
    <row r="902" spans="1:40" ht="19" customHeight="1" x14ac:dyDescent="0.15">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0"/>
      <c r="AH902" s="10"/>
      <c r="AI902" s="10"/>
      <c r="AJ902" s="10"/>
      <c r="AK902" s="10"/>
      <c r="AL902" s="10"/>
      <c r="AM902" s="10"/>
      <c r="AN902" s="10"/>
    </row>
    <row r="903" spans="1:40" ht="19" customHeight="1" x14ac:dyDescent="0.15">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0"/>
      <c r="AH903" s="10"/>
      <c r="AI903" s="10"/>
      <c r="AJ903" s="10"/>
      <c r="AK903" s="10"/>
      <c r="AL903" s="10"/>
      <c r="AM903" s="10"/>
      <c r="AN903" s="10"/>
    </row>
    <row r="904" spans="1:40" ht="19" customHeight="1" x14ac:dyDescent="0.15">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0"/>
      <c r="AH904" s="10"/>
      <c r="AI904" s="10"/>
      <c r="AJ904" s="10"/>
      <c r="AK904" s="10"/>
      <c r="AL904" s="10"/>
      <c r="AM904" s="10"/>
      <c r="AN904" s="10"/>
    </row>
    <row r="905" spans="1:40" ht="19" customHeight="1" x14ac:dyDescent="0.15">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0"/>
      <c r="AH905" s="10"/>
      <c r="AI905" s="10"/>
      <c r="AJ905" s="10"/>
      <c r="AK905" s="10"/>
      <c r="AL905" s="10"/>
      <c r="AM905" s="10"/>
      <c r="AN905" s="10"/>
    </row>
    <row r="906" spans="1:40" ht="19" customHeight="1" x14ac:dyDescent="0.15">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0"/>
      <c r="AH906" s="10"/>
      <c r="AI906" s="10"/>
      <c r="AJ906" s="10"/>
      <c r="AK906" s="10"/>
      <c r="AL906" s="10"/>
      <c r="AM906" s="10"/>
      <c r="AN906" s="10"/>
    </row>
    <row r="907" spans="1:40" ht="19" customHeight="1" x14ac:dyDescent="0.15">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0"/>
      <c r="AH907" s="10"/>
      <c r="AI907" s="10"/>
      <c r="AJ907" s="10"/>
      <c r="AK907" s="10"/>
      <c r="AL907" s="10"/>
      <c r="AM907" s="10"/>
      <c r="AN907" s="10"/>
    </row>
    <row r="908" spans="1:40" ht="19" customHeight="1" x14ac:dyDescent="0.15">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10"/>
      <c r="AH908" s="10"/>
      <c r="AI908" s="10"/>
      <c r="AJ908" s="10"/>
      <c r="AK908" s="10"/>
      <c r="AL908" s="10"/>
      <c r="AM908" s="10"/>
      <c r="AN908" s="10"/>
    </row>
    <row r="909" spans="1:40" ht="19" customHeight="1" x14ac:dyDescent="0.15">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0"/>
      <c r="AH909" s="10"/>
      <c r="AI909" s="10"/>
      <c r="AJ909" s="10"/>
      <c r="AK909" s="10"/>
      <c r="AL909" s="10"/>
      <c r="AM909" s="10"/>
      <c r="AN909" s="10"/>
    </row>
    <row r="910" spans="1:40" ht="19" customHeight="1" x14ac:dyDescent="0.15">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c r="AA910" s="10"/>
      <c r="AB910" s="10"/>
      <c r="AC910" s="10"/>
      <c r="AD910" s="10"/>
      <c r="AE910" s="10"/>
      <c r="AF910" s="10"/>
      <c r="AG910" s="10"/>
      <c r="AH910" s="10"/>
      <c r="AI910" s="10"/>
      <c r="AJ910" s="10"/>
      <c r="AK910" s="10"/>
      <c r="AL910" s="10"/>
      <c r="AM910" s="10"/>
      <c r="AN910" s="10"/>
    </row>
    <row r="911" spans="1:40" ht="19" customHeight="1" x14ac:dyDescent="0.15">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0"/>
      <c r="AH911" s="10"/>
      <c r="AI911" s="10"/>
      <c r="AJ911" s="10"/>
      <c r="AK911" s="10"/>
      <c r="AL911" s="10"/>
      <c r="AM911" s="10"/>
      <c r="AN911" s="10"/>
    </row>
    <row r="912" spans="1:40" ht="19" customHeight="1" x14ac:dyDescent="0.15">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c r="AA912" s="10"/>
      <c r="AB912" s="10"/>
      <c r="AC912" s="10"/>
      <c r="AD912" s="10"/>
      <c r="AE912" s="10"/>
      <c r="AF912" s="10"/>
      <c r="AG912" s="10"/>
      <c r="AH912" s="10"/>
      <c r="AI912" s="10"/>
      <c r="AJ912" s="10"/>
      <c r="AK912" s="10"/>
      <c r="AL912" s="10"/>
      <c r="AM912" s="10"/>
      <c r="AN912" s="10"/>
    </row>
    <row r="913" spans="1:40" ht="19" customHeight="1" x14ac:dyDescent="0.15">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0"/>
      <c r="AH913" s="10"/>
      <c r="AI913" s="10"/>
      <c r="AJ913" s="10"/>
      <c r="AK913" s="10"/>
      <c r="AL913" s="10"/>
      <c r="AM913" s="10"/>
      <c r="AN913" s="10"/>
    </row>
    <row r="914" spans="1:40" ht="19" customHeight="1" x14ac:dyDescent="0.15">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0"/>
      <c r="AH914" s="10"/>
      <c r="AI914" s="10"/>
      <c r="AJ914" s="10"/>
      <c r="AK914" s="10"/>
      <c r="AL914" s="10"/>
      <c r="AM914" s="10"/>
      <c r="AN914" s="10"/>
    </row>
    <row r="915" spans="1:40" ht="19" customHeight="1" x14ac:dyDescent="0.15">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0"/>
      <c r="AH915" s="10"/>
      <c r="AI915" s="10"/>
      <c r="AJ915" s="10"/>
      <c r="AK915" s="10"/>
      <c r="AL915" s="10"/>
      <c r="AM915" s="10"/>
      <c r="AN915" s="10"/>
    </row>
    <row r="916" spans="1:40" ht="19" customHeight="1" x14ac:dyDescent="0.15">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0"/>
      <c r="AH916" s="10"/>
      <c r="AI916" s="10"/>
      <c r="AJ916" s="10"/>
      <c r="AK916" s="10"/>
      <c r="AL916" s="10"/>
      <c r="AM916" s="10"/>
      <c r="AN916" s="10"/>
    </row>
    <row r="917" spans="1:40" ht="19" customHeight="1" x14ac:dyDescent="0.15">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0"/>
      <c r="AH917" s="10"/>
      <c r="AI917" s="10"/>
      <c r="AJ917" s="10"/>
      <c r="AK917" s="10"/>
      <c r="AL917" s="10"/>
      <c r="AM917" s="10"/>
      <c r="AN917" s="10"/>
    </row>
    <row r="918" spans="1:40" ht="19" customHeight="1" x14ac:dyDescent="0.15">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c r="AM918" s="10"/>
      <c r="AN918" s="10"/>
    </row>
    <row r="919" spans="1:40" ht="19" customHeight="1" x14ac:dyDescent="0.15">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c r="AM919" s="10"/>
      <c r="AN919" s="10"/>
    </row>
    <row r="920" spans="1:40" ht="19" customHeight="1" x14ac:dyDescent="0.15">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c r="AM920" s="10"/>
      <c r="AN920" s="10"/>
    </row>
    <row r="921" spans="1:40" ht="19" customHeight="1" x14ac:dyDescent="0.15">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c r="AM921" s="10"/>
      <c r="AN921" s="10"/>
    </row>
    <row r="922" spans="1:40" ht="19" customHeight="1" x14ac:dyDescent="0.15">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c r="AM922" s="10"/>
      <c r="AN922" s="10"/>
    </row>
    <row r="923" spans="1:40" ht="19" customHeight="1" x14ac:dyDescent="0.15">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c r="AM923" s="10"/>
      <c r="AN923" s="10"/>
    </row>
    <row r="924" spans="1:40" ht="19" customHeight="1" x14ac:dyDescent="0.15">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c r="AM924" s="10"/>
      <c r="AN924" s="10"/>
    </row>
    <row r="925" spans="1:40" ht="19" customHeight="1" x14ac:dyDescent="0.15">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c r="AM925" s="10"/>
      <c r="AN925" s="10"/>
    </row>
    <row r="926" spans="1:40" ht="19" customHeight="1" x14ac:dyDescent="0.15">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c r="AM926" s="10"/>
      <c r="AN926" s="10"/>
    </row>
    <row r="927" spans="1:40" ht="19" customHeight="1" x14ac:dyDescent="0.15">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c r="AM927" s="10"/>
      <c r="AN927" s="10"/>
    </row>
    <row r="928" spans="1:40" ht="19" customHeight="1" x14ac:dyDescent="0.15">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0"/>
      <c r="AH928" s="10"/>
      <c r="AI928" s="10"/>
      <c r="AJ928" s="10"/>
      <c r="AK928" s="10"/>
      <c r="AL928" s="10"/>
      <c r="AM928" s="10"/>
      <c r="AN928" s="10"/>
    </row>
    <row r="929" spans="1:40" ht="19" customHeight="1" x14ac:dyDescent="0.15">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0"/>
      <c r="AH929" s="10"/>
      <c r="AI929" s="10"/>
      <c r="AJ929" s="10"/>
      <c r="AK929" s="10"/>
      <c r="AL929" s="10"/>
      <c r="AM929" s="10"/>
      <c r="AN929" s="10"/>
    </row>
    <row r="930" spans="1:40" ht="19" customHeight="1" x14ac:dyDescent="0.15">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0"/>
      <c r="AH930" s="10"/>
      <c r="AI930" s="10"/>
      <c r="AJ930" s="10"/>
      <c r="AK930" s="10"/>
      <c r="AL930" s="10"/>
      <c r="AM930" s="10"/>
      <c r="AN930" s="10"/>
    </row>
    <row r="931" spans="1:40" ht="19" customHeight="1" x14ac:dyDescent="0.15">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0"/>
      <c r="AH931" s="10"/>
      <c r="AI931" s="10"/>
      <c r="AJ931" s="10"/>
      <c r="AK931" s="10"/>
      <c r="AL931" s="10"/>
      <c r="AM931" s="10"/>
      <c r="AN931" s="10"/>
    </row>
    <row r="932" spans="1:40" ht="19" customHeight="1" x14ac:dyDescent="0.15">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0"/>
      <c r="AH932" s="10"/>
      <c r="AI932" s="10"/>
      <c r="AJ932" s="10"/>
      <c r="AK932" s="10"/>
      <c r="AL932" s="10"/>
      <c r="AM932" s="10"/>
      <c r="AN932" s="10"/>
    </row>
    <row r="933" spans="1:40" ht="19" customHeight="1" x14ac:dyDescent="0.15">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0"/>
      <c r="AH933" s="10"/>
      <c r="AI933" s="10"/>
      <c r="AJ933" s="10"/>
      <c r="AK933" s="10"/>
      <c r="AL933" s="10"/>
      <c r="AM933" s="10"/>
      <c r="AN933" s="10"/>
    </row>
    <row r="934" spans="1:40" ht="19" customHeight="1" x14ac:dyDescent="0.15">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c r="AA934" s="10"/>
      <c r="AB934" s="10"/>
      <c r="AC934" s="10"/>
      <c r="AD934" s="10"/>
      <c r="AE934" s="10"/>
      <c r="AF934" s="10"/>
      <c r="AG934" s="10"/>
      <c r="AH934" s="10"/>
      <c r="AI934" s="10"/>
      <c r="AJ934" s="10"/>
      <c r="AK934" s="10"/>
      <c r="AL934" s="10"/>
      <c r="AM934" s="10"/>
      <c r="AN934" s="10"/>
    </row>
    <row r="935" spans="1:40" ht="19" customHeight="1" x14ac:dyDescent="0.15">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c r="AA935" s="10"/>
      <c r="AB935" s="10"/>
      <c r="AC935" s="10"/>
      <c r="AD935" s="10"/>
      <c r="AE935" s="10"/>
      <c r="AF935" s="10"/>
      <c r="AG935" s="10"/>
      <c r="AH935" s="10"/>
      <c r="AI935" s="10"/>
      <c r="AJ935" s="10"/>
      <c r="AK935" s="10"/>
      <c r="AL935" s="10"/>
      <c r="AM935" s="10"/>
      <c r="AN935" s="10"/>
    </row>
    <row r="936" spans="1:40" ht="19" customHeight="1" x14ac:dyDescent="0.15">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0"/>
      <c r="AH936" s="10"/>
      <c r="AI936" s="10"/>
      <c r="AJ936" s="10"/>
      <c r="AK936" s="10"/>
      <c r="AL936" s="10"/>
      <c r="AM936" s="10"/>
      <c r="AN936" s="10"/>
    </row>
    <row r="937" spans="1:40" ht="19" customHeight="1" x14ac:dyDescent="0.15">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0"/>
      <c r="AH937" s="10"/>
      <c r="AI937" s="10"/>
      <c r="AJ937" s="10"/>
      <c r="AK937" s="10"/>
      <c r="AL937" s="10"/>
      <c r="AM937" s="10"/>
      <c r="AN937" s="10"/>
    </row>
    <row r="938" spans="1:40" ht="19" customHeight="1" x14ac:dyDescent="0.15">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0"/>
      <c r="AH938" s="10"/>
      <c r="AI938" s="10"/>
      <c r="AJ938" s="10"/>
      <c r="AK938" s="10"/>
      <c r="AL938" s="10"/>
      <c r="AM938" s="10"/>
      <c r="AN938" s="10"/>
    </row>
    <row r="939" spans="1:40" ht="19" customHeight="1" x14ac:dyDescent="0.15">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0"/>
      <c r="AH939" s="10"/>
      <c r="AI939" s="10"/>
      <c r="AJ939" s="10"/>
      <c r="AK939" s="10"/>
      <c r="AL939" s="10"/>
      <c r="AM939" s="10"/>
      <c r="AN939" s="10"/>
    </row>
    <row r="940" spans="1:40" ht="19" customHeight="1" x14ac:dyDescent="0.15">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0"/>
      <c r="AH940" s="10"/>
      <c r="AI940" s="10"/>
      <c r="AJ940" s="10"/>
      <c r="AK940" s="10"/>
      <c r="AL940" s="10"/>
      <c r="AM940" s="10"/>
      <c r="AN940" s="10"/>
    </row>
    <row r="941" spans="1:40" ht="19" customHeight="1" x14ac:dyDescent="0.15">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c r="AA941" s="10"/>
      <c r="AB941" s="10"/>
      <c r="AC941" s="10"/>
      <c r="AD941" s="10"/>
      <c r="AE941" s="10"/>
      <c r="AF941" s="10"/>
      <c r="AG941" s="10"/>
      <c r="AH941" s="10"/>
      <c r="AI941" s="10"/>
      <c r="AJ941" s="10"/>
      <c r="AK941" s="10"/>
      <c r="AL941" s="10"/>
      <c r="AM941" s="10"/>
      <c r="AN941" s="10"/>
    </row>
    <row r="942" spans="1:40" ht="19" customHeight="1" x14ac:dyDescent="0.15">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0"/>
      <c r="AH942" s="10"/>
      <c r="AI942" s="10"/>
      <c r="AJ942" s="10"/>
      <c r="AK942" s="10"/>
      <c r="AL942" s="10"/>
      <c r="AM942" s="10"/>
      <c r="AN942" s="10"/>
    </row>
    <row r="943" spans="1:40" ht="19" customHeight="1" x14ac:dyDescent="0.15">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0"/>
      <c r="AH943" s="10"/>
      <c r="AI943" s="10"/>
      <c r="AJ943" s="10"/>
      <c r="AK943" s="10"/>
      <c r="AL943" s="10"/>
      <c r="AM943" s="10"/>
      <c r="AN943" s="10"/>
    </row>
    <row r="944" spans="1:40" ht="19" customHeight="1" x14ac:dyDescent="0.15">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0"/>
      <c r="AH944" s="10"/>
      <c r="AI944" s="10"/>
      <c r="AJ944" s="10"/>
      <c r="AK944" s="10"/>
      <c r="AL944" s="10"/>
      <c r="AM944" s="10"/>
      <c r="AN944" s="10"/>
    </row>
    <row r="945" spans="1:40" ht="19" customHeight="1" x14ac:dyDescent="0.15">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0"/>
      <c r="AH945" s="10"/>
      <c r="AI945" s="10"/>
      <c r="AJ945" s="10"/>
      <c r="AK945" s="10"/>
      <c r="AL945" s="10"/>
      <c r="AM945" s="10"/>
      <c r="AN945" s="10"/>
    </row>
    <row r="946" spans="1:40" ht="19" customHeight="1" x14ac:dyDescent="0.15">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0"/>
      <c r="AH946" s="10"/>
      <c r="AI946" s="10"/>
      <c r="AJ946" s="10"/>
      <c r="AK946" s="10"/>
      <c r="AL946" s="10"/>
      <c r="AM946" s="10"/>
      <c r="AN946" s="10"/>
    </row>
    <row r="947" spans="1:40" ht="19" customHeight="1" x14ac:dyDescent="0.15">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0"/>
      <c r="AH947" s="10"/>
      <c r="AI947" s="10"/>
      <c r="AJ947" s="10"/>
      <c r="AK947" s="10"/>
      <c r="AL947" s="10"/>
      <c r="AM947" s="10"/>
      <c r="AN947" s="10"/>
    </row>
    <row r="948" spans="1:40" ht="19" customHeight="1" x14ac:dyDescent="0.15">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0"/>
      <c r="AH948" s="10"/>
      <c r="AI948" s="10"/>
      <c r="AJ948" s="10"/>
      <c r="AK948" s="10"/>
      <c r="AL948" s="10"/>
      <c r="AM948" s="10"/>
      <c r="AN948" s="10"/>
    </row>
    <row r="949" spans="1:40" ht="19" customHeight="1" x14ac:dyDescent="0.15">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0"/>
      <c r="AH949" s="10"/>
      <c r="AI949" s="10"/>
      <c r="AJ949" s="10"/>
      <c r="AK949" s="10"/>
      <c r="AL949" s="10"/>
      <c r="AM949" s="10"/>
      <c r="AN949" s="10"/>
    </row>
    <row r="950" spans="1:40" ht="19" customHeight="1" x14ac:dyDescent="0.15">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0"/>
      <c r="AH950" s="10"/>
      <c r="AI950" s="10"/>
      <c r="AJ950" s="10"/>
      <c r="AK950" s="10"/>
      <c r="AL950" s="10"/>
      <c r="AM950" s="10"/>
      <c r="AN950" s="10"/>
    </row>
    <row r="951" spans="1:40" ht="19" customHeight="1" x14ac:dyDescent="0.15">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0"/>
      <c r="AH951" s="10"/>
      <c r="AI951" s="10"/>
      <c r="AJ951" s="10"/>
      <c r="AK951" s="10"/>
      <c r="AL951" s="10"/>
      <c r="AM951" s="10"/>
      <c r="AN951" s="10"/>
    </row>
    <row r="952" spans="1:40" ht="19" customHeight="1" x14ac:dyDescent="0.15">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0"/>
      <c r="AH952" s="10"/>
      <c r="AI952" s="10"/>
      <c r="AJ952" s="10"/>
      <c r="AK952" s="10"/>
      <c r="AL952" s="10"/>
      <c r="AM952" s="10"/>
      <c r="AN952" s="10"/>
    </row>
    <row r="953" spans="1:40" ht="19" customHeight="1" x14ac:dyDescent="0.15">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c r="AM953" s="10"/>
      <c r="AN953" s="10"/>
    </row>
    <row r="954" spans="1:40" ht="19" customHeight="1" x14ac:dyDescent="0.15">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c r="AM954" s="10"/>
      <c r="AN954" s="10"/>
    </row>
    <row r="955" spans="1:40" ht="19" customHeight="1" x14ac:dyDescent="0.15">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c r="AM955" s="10"/>
      <c r="AN955" s="10"/>
    </row>
    <row r="956" spans="1:40" ht="19" customHeight="1" x14ac:dyDescent="0.15">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c r="AM956" s="10"/>
      <c r="AN956" s="10"/>
    </row>
    <row r="957" spans="1:40" ht="19" customHeight="1" x14ac:dyDescent="0.15">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row>
    <row r="958" spans="1:40" ht="19" customHeight="1" x14ac:dyDescent="0.15">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c r="AM958" s="10"/>
      <c r="AN958" s="10"/>
    </row>
    <row r="959" spans="1:40" ht="19" customHeight="1" x14ac:dyDescent="0.15">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c r="AM959" s="10"/>
      <c r="AN959" s="10"/>
    </row>
    <row r="960" spans="1:40" ht="19" customHeight="1" x14ac:dyDescent="0.15">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row>
    <row r="961" spans="1:40" ht="19" customHeight="1" x14ac:dyDescent="0.15">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c r="AM961" s="10"/>
      <c r="AN961" s="10"/>
    </row>
    <row r="962" spans="1:40" ht="19" customHeight="1" x14ac:dyDescent="0.15">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c r="AM962" s="10"/>
      <c r="AN962" s="10"/>
    </row>
    <row r="963" spans="1:40" ht="19" customHeight="1" x14ac:dyDescent="0.15">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0"/>
      <c r="AH963" s="10"/>
      <c r="AI963" s="10"/>
      <c r="AJ963" s="10"/>
      <c r="AK963" s="10"/>
      <c r="AL963" s="10"/>
      <c r="AM963" s="10"/>
      <c r="AN963" s="10"/>
    </row>
    <row r="964" spans="1:40" ht="19" customHeight="1" x14ac:dyDescent="0.15">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0"/>
      <c r="AH964" s="10"/>
      <c r="AI964" s="10"/>
      <c r="AJ964" s="10"/>
      <c r="AK964" s="10"/>
      <c r="AL964" s="10"/>
      <c r="AM964" s="10"/>
      <c r="AN964" s="10"/>
    </row>
    <row r="965" spans="1:40" ht="19" customHeight="1" x14ac:dyDescent="0.15">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0"/>
      <c r="AH965" s="10"/>
      <c r="AI965" s="10"/>
      <c r="AJ965" s="10"/>
      <c r="AK965" s="10"/>
      <c r="AL965" s="10"/>
      <c r="AM965" s="10"/>
      <c r="AN965" s="10"/>
    </row>
    <row r="966" spans="1:40" ht="19" customHeight="1" x14ac:dyDescent="0.15">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0"/>
      <c r="AH966" s="10"/>
      <c r="AI966" s="10"/>
      <c r="AJ966" s="10"/>
      <c r="AK966" s="10"/>
      <c r="AL966" s="10"/>
      <c r="AM966" s="10"/>
      <c r="AN966" s="10"/>
    </row>
    <row r="967" spans="1:40" ht="19" customHeight="1" x14ac:dyDescent="0.15">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0"/>
      <c r="AH967" s="10"/>
      <c r="AI967" s="10"/>
      <c r="AJ967" s="10"/>
      <c r="AK967" s="10"/>
      <c r="AL967" s="10"/>
      <c r="AM967" s="10"/>
      <c r="AN967" s="10"/>
    </row>
    <row r="968" spans="1:40" ht="19" customHeight="1" x14ac:dyDescent="0.15">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0"/>
      <c r="AH968" s="10"/>
      <c r="AI968" s="10"/>
      <c r="AJ968" s="10"/>
      <c r="AK968" s="10"/>
      <c r="AL968" s="10"/>
      <c r="AM968" s="10"/>
      <c r="AN968" s="10"/>
    </row>
    <row r="969" spans="1:40" ht="19" customHeight="1" x14ac:dyDescent="0.15">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0"/>
      <c r="AH969" s="10"/>
      <c r="AI969" s="10"/>
      <c r="AJ969" s="10"/>
      <c r="AK969" s="10"/>
      <c r="AL969" s="10"/>
      <c r="AM969" s="10"/>
      <c r="AN969" s="10"/>
    </row>
    <row r="970" spans="1:40" ht="19" customHeight="1" x14ac:dyDescent="0.15">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0"/>
      <c r="AH970" s="10"/>
      <c r="AI970" s="10"/>
      <c r="AJ970" s="10"/>
      <c r="AK970" s="10"/>
      <c r="AL970" s="10"/>
      <c r="AM970" s="10"/>
      <c r="AN970" s="10"/>
    </row>
    <row r="971" spans="1:40" ht="19" customHeight="1" x14ac:dyDescent="0.15">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0"/>
      <c r="AH971" s="10"/>
      <c r="AI971" s="10"/>
      <c r="AJ971" s="10"/>
      <c r="AK971" s="10"/>
      <c r="AL971" s="10"/>
      <c r="AM971" s="10"/>
      <c r="AN971" s="10"/>
    </row>
    <row r="972" spans="1:40" ht="19" customHeight="1" x14ac:dyDescent="0.15">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0"/>
      <c r="AH972" s="10"/>
      <c r="AI972" s="10"/>
      <c r="AJ972" s="10"/>
      <c r="AK972" s="10"/>
      <c r="AL972" s="10"/>
      <c r="AM972" s="10"/>
      <c r="AN972" s="10"/>
    </row>
    <row r="973" spans="1:40" ht="19" customHeight="1" x14ac:dyDescent="0.15">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0"/>
      <c r="AH973" s="10"/>
      <c r="AI973" s="10"/>
      <c r="AJ973" s="10"/>
      <c r="AK973" s="10"/>
      <c r="AL973" s="10"/>
      <c r="AM973" s="10"/>
      <c r="AN973" s="10"/>
    </row>
    <row r="974" spans="1:40" ht="19" customHeight="1" x14ac:dyDescent="0.15">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0"/>
      <c r="AH974" s="10"/>
      <c r="AI974" s="10"/>
      <c r="AJ974" s="10"/>
      <c r="AK974" s="10"/>
      <c r="AL974" s="10"/>
      <c r="AM974" s="10"/>
      <c r="AN974" s="10"/>
    </row>
    <row r="975" spans="1:40" ht="19" customHeight="1" x14ac:dyDescent="0.15">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0"/>
      <c r="AH975" s="10"/>
      <c r="AI975" s="10"/>
      <c r="AJ975" s="10"/>
      <c r="AK975" s="10"/>
      <c r="AL975" s="10"/>
      <c r="AM975" s="10"/>
      <c r="AN975" s="10"/>
    </row>
    <row r="976" spans="1:40" ht="19" customHeight="1" x14ac:dyDescent="0.15">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0"/>
      <c r="AH976" s="10"/>
      <c r="AI976" s="10"/>
      <c r="AJ976" s="10"/>
      <c r="AK976" s="10"/>
      <c r="AL976" s="10"/>
      <c r="AM976" s="10"/>
      <c r="AN976" s="10"/>
    </row>
    <row r="977" spans="1:40" ht="19" customHeight="1" x14ac:dyDescent="0.15">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0"/>
      <c r="AH977" s="10"/>
      <c r="AI977" s="10"/>
      <c r="AJ977" s="10"/>
      <c r="AK977" s="10"/>
      <c r="AL977" s="10"/>
      <c r="AM977" s="10"/>
      <c r="AN977" s="10"/>
    </row>
    <row r="978" spans="1:40" ht="19" customHeight="1" x14ac:dyDescent="0.15">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0"/>
      <c r="AH978" s="10"/>
      <c r="AI978" s="10"/>
      <c r="AJ978" s="10"/>
      <c r="AK978" s="10"/>
      <c r="AL978" s="10"/>
      <c r="AM978" s="10"/>
      <c r="AN978" s="10"/>
    </row>
    <row r="979" spans="1:40" ht="19" customHeight="1" x14ac:dyDescent="0.15">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0"/>
      <c r="AH979" s="10"/>
      <c r="AI979" s="10"/>
      <c r="AJ979" s="10"/>
      <c r="AK979" s="10"/>
      <c r="AL979" s="10"/>
      <c r="AM979" s="10"/>
      <c r="AN979" s="10"/>
    </row>
    <row r="980" spans="1:40" ht="19" customHeight="1" x14ac:dyDescent="0.15">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0"/>
      <c r="AH980" s="10"/>
      <c r="AI980" s="10"/>
      <c r="AJ980" s="10"/>
      <c r="AK980" s="10"/>
      <c r="AL980" s="10"/>
      <c r="AM980" s="10"/>
      <c r="AN980" s="10"/>
    </row>
    <row r="981" spans="1:40" ht="19" customHeight="1" x14ac:dyDescent="0.15">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0"/>
      <c r="AH981" s="10"/>
      <c r="AI981" s="10"/>
      <c r="AJ981" s="10"/>
      <c r="AK981" s="10"/>
      <c r="AL981" s="10"/>
      <c r="AM981" s="10"/>
      <c r="AN981" s="10"/>
    </row>
    <row r="982" spans="1:40" ht="19" customHeight="1" x14ac:dyDescent="0.15">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0"/>
      <c r="AH982" s="10"/>
      <c r="AI982" s="10"/>
      <c r="AJ982" s="10"/>
      <c r="AK982" s="10"/>
      <c r="AL982" s="10"/>
      <c r="AM982" s="10"/>
      <c r="AN982" s="10"/>
    </row>
    <row r="983" spans="1:40" ht="19" customHeight="1" x14ac:dyDescent="0.15">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0"/>
      <c r="AH983" s="10"/>
      <c r="AI983" s="10"/>
      <c r="AJ983" s="10"/>
      <c r="AK983" s="10"/>
      <c r="AL983" s="10"/>
      <c r="AM983" s="10"/>
      <c r="AN983" s="10"/>
    </row>
    <row r="984" spans="1:40" ht="19" customHeight="1" x14ac:dyDescent="0.15">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0"/>
      <c r="AH984" s="10"/>
      <c r="AI984" s="10"/>
      <c r="AJ984" s="10"/>
      <c r="AK984" s="10"/>
      <c r="AL984" s="10"/>
      <c r="AM984" s="10"/>
      <c r="AN984" s="10"/>
    </row>
    <row r="985" spans="1:40" ht="19" customHeight="1" x14ac:dyDescent="0.15">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0"/>
      <c r="AH985" s="10"/>
      <c r="AI985" s="10"/>
      <c r="AJ985" s="10"/>
      <c r="AK985" s="10"/>
      <c r="AL985" s="10"/>
      <c r="AM985" s="10"/>
      <c r="AN985" s="10"/>
    </row>
    <row r="986" spans="1:40" ht="19" customHeight="1" x14ac:dyDescent="0.15">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0"/>
      <c r="AH986" s="10"/>
      <c r="AI986" s="10"/>
      <c r="AJ986" s="10"/>
      <c r="AK986" s="10"/>
      <c r="AL986" s="10"/>
      <c r="AM986" s="10"/>
      <c r="AN986" s="10"/>
    </row>
    <row r="987" spans="1:40" ht="19" customHeight="1" x14ac:dyDescent="0.15">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0"/>
      <c r="AH987" s="10"/>
      <c r="AI987" s="10"/>
      <c r="AJ987" s="10"/>
      <c r="AK987" s="10"/>
      <c r="AL987" s="10"/>
      <c r="AM987" s="10"/>
      <c r="AN987" s="10"/>
    </row>
    <row r="988" spans="1:40" ht="19" customHeight="1" x14ac:dyDescent="0.15">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0"/>
      <c r="AH988" s="10"/>
      <c r="AI988" s="10"/>
      <c r="AJ988" s="10"/>
      <c r="AK988" s="10"/>
      <c r="AL988" s="10"/>
      <c r="AM988" s="10"/>
      <c r="AN988" s="10"/>
    </row>
    <row r="989" spans="1:40" ht="19" customHeight="1" x14ac:dyDescent="0.15">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0"/>
      <c r="AH989" s="10"/>
      <c r="AI989" s="10"/>
      <c r="AJ989" s="10"/>
      <c r="AK989" s="10"/>
      <c r="AL989" s="10"/>
      <c r="AM989" s="10"/>
      <c r="AN989" s="10"/>
    </row>
    <row r="990" spans="1:40" ht="19" customHeight="1" x14ac:dyDescent="0.15">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0"/>
      <c r="AH990" s="10"/>
      <c r="AI990" s="10"/>
      <c r="AJ990" s="10"/>
      <c r="AK990" s="10"/>
      <c r="AL990" s="10"/>
      <c r="AM990" s="10"/>
      <c r="AN990" s="10"/>
    </row>
    <row r="991" spans="1:40" ht="19" customHeight="1" x14ac:dyDescent="0.15">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0"/>
      <c r="AH991" s="10"/>
      <c r="AI991" s="10"/>
      <c r="AJ991" s="10"/>
      <c r="AK991" s="10"/>
      <c r="AL991" s="10"/>
      <c r="AM991" s="10"/>
      <c r="AN991" s="10"/>
    </row>
    <row r="992" spans="1:40" ht="19" customHeight="1" x14ac:dyDescent="0.15">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0"/>
      <c r="AH992" s="10"/>
      <c r="AI992" s="10"/>
      <c r="AJ992" s="10"/>
      <c r="AK992" s="10"/>
      <c r="AL992" s="10"/>
      <c r="AM992" s="10"/>
      <c r="AN992" s="10"/>
    </row>
    <row r="993" spans="1:40" ht="19" customHeight="1" x14ac:dyDescent="0.15">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0"/>
      <c r="AH993" s="10"/>
      <c r="AI993" s="10"/>
      <c r="AJ993" s="10"/>
      <c r="AK993" s="10"/>
      <c r="AL993" s="10"/>
      <c r="AM993" s="10"/>
      <c r="AN993" s="10"/>
    </row>
    <row r="994" spans="1:40" ht="19" customHeight="1" x14ac:dyDescent="0.15">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0"/>
      <c r="AH994" s="10"/>
      <c r="AI994" s="10"/>
      <c r="AJ994" s="10"/>
      <c r="AK994" s="10"/>
      <c r="AL994" s="10"/>
      <c r="AM994" s="10"/>
      <c r="AN994" s="10"/>
    </row>
    <row r="995" spans="1:40" ht="19" customHeight="1" x14ac:dyDescent="0.15">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c r="AA995" s="10"/>
      <c r="AB995" s="10"/>
      <c r="AC995" s="10"/>
      <c r="AD995" s="10"/>
      <c r="AE995" s="10"/>
      <c r="AF995" s="10"/>
      <c r="AG995" s="10"/>
      <c r="AH995" s="10"/>
      <c r="AI995" s="10"/>
      <c r="AJ995" s="10"/>
      <c r="AK995" s="10"/>
      <c r="AL995" s="10"/>
      <c r="AM995" s="10"/>
      <c r="AN995" s="10"/>
    </row>
    <row r="996" spans="1:40" ht="19" customHeight="1" x14ac:dyDescent="0.15">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0"/>
      <c r="AH996" s="10"/>
      <c r="AI996" s="10"/>
      <c r="AJ996" s="10"/>
      <c r="AK996" s="10"/>
      <c r="AL996" s="10"/>
      <c r="AM996" s="10"/>
      <c r="AN996" s="10"/>
    </row>
    <row r="997" spans="1:40" ht="19" customHeight="1" x14ac:dyDescent="0.15">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c r="AM997" s="10"/>
      <c r="AN997" s="10"/>
    </row>
    <row r="998" spans="1:40" ht="19" customHeight="1" x14ac:dyDescent="0.15">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c r="AM998" s="10"/>
      <c r="AN998" s="10"/>
    </row>
    <row r="999" spans="1:40" ht="19" customHeight="1" x14ac:dyDescent="0.15">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c r="AM999" s="10"/>
      <c r="AN999" s="10"/>
    </row>
    <row r="1000" spans="1:40" ht="19" customHeight="1" x14ac:dyDescent="0.15">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c r="AM1000" s="10"/>
      <c r="AN1000" s="10"/>
    </row>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InputsSheet">
                <anchor moveWithCells="1" sizeWithCells="1">
                  <from>
                    <xdr:col>9</xdr:col>
                    <xdr:colOff>330200</xdr:colOff>
                    <xdr:row>3</xdr:row>
                    <xdr:rowOff>190500</xdr:rowOff>
                  </from>
                  <to>
                    <xdr:col>11</xdr:col>
                    <xdr:colOff>152400</xdr:colOff>
                    <xdr:row>5</xdr:row>
                    <xdr:rowOff>88900</xdr:rowOff>
                  </to>
                </anchor>
              </controlPr>
            </control>
          </mc:Choice>
        </mc:AlternateContent>
        <mc:AlternateContent xmlns:mc="http://schemas.openxmlformats.org/markup-compatibility/2006">
          <mc:Choice Requires="x14">
            <control shapeId="4099" r:id="rId4" name="Button 3">
              <controlPr defaultSize="0" print="0" autoFill="0" autoPict="0" macro="[0]!ReadMeSheet">
                <anchor moveWithCells="1" sizeWithCells="1">
                  <from>
                    <xdr:col>9</xdr:col>
                    <xdr:colOff>330200</xdr:colOff>
                    <xdr:row>6</xdr:row>
                    <xdr:rowOff>76200</xdr:rowOff>
                  </from>
                  <to>
                    <xdr:col>11</xdr:col>
                    <xdr:colOff>152400</xdr:colOff>
                    <xdr:row>7</xdr:row>
                    <xdr:rowOff>215900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1:A1000"/>
  <sheetViews>
    <sheetView workbookViewId="0"/>
  </sheetViews>
  <sheetFormatPr baseColWidth="10" defaultColWidth="12.6640625" defaultRowHeight="15" customHeight="1" x14ac:dyDescent="0.15"/>
  <cols>
    <col min="1" max="26" width="9.33203125" customWidth="1"/>
  </cols>
  <sheetData>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P1000"/>
  <sheetViews>
    <sheetView showGridLines="0" workbookViewId="0">
      <selection activeCell="I4" sqref="I4"/>
    </sheetView>
  </sheetViews>
  <sheetFormatPr baseColWidth="10" defaultColWidth="12.6640625" defaultRowHeight="15" customHeight="1" x14ac:dyDescent="0.15"/>
  <cols>
    <col min="1" max="2" width="7.6640625" customWidth="1"/>
    <col min="3" max="3" width="35.83203125" customWidth="1"/>
    <col min="4" max="4" width="9.33203125" customWidth="1"/>
    <col min="5" max="8" width="7.6640625" customWidth="1"/>
    <col min="9" max="9" width="83.1640625" customWidth="1"/>
    <col min="10" max="28" width="7.6640625" customWidth="1"/>
  </cols>
  <sheetData>
    <row r="1" spans="2:16" ht="60" customHeight="1" thickBot="1" x14ac:dyDescent="0.65">
      <c r="B1" s="11" t="s">
        <v>50</v>
      </c>
    </row>
    <row r="2" spans="2:16" ht="16" thickBot="1" x14ac:dyDescent="0.25">
      <c r="B2" s="72" t="s">
        <v>35</v>
      </c>
      <c r="C2" s="73"/>
      <c r="D2" s="73"/>
      <c r="E2" s="74"/>
      <c r="F2" s="31"/>
      <c r="G2" s="31"/>
      <c r="H2" s="4"/>
    </row>
    <row r="3" spans="2:16" x14ac:dyDescent="0.2">
      <c r="B3" s="39"/>
      <c r="C3" s="42"/>
      <c r="D3" s="42"/>
      <c r="E3" s="43"/>
      <c r="I3" s="37" t="s">
        <v>36</v>
      </c>
      <c r="J3" s="38"/>
      <c r="K3" s="38"/>
      <c r="L3" s="38"/>
      <c r="M3" s="38"/>
      <c r="N3" s="38"/>
      <c r="O3" s="38"/>
      <c r="P3" s="38"/>
    </row>
    <row r="4" spans="2:16" x14ac:dyDescent="0.2">
      <c r="B4" s="40"/>
      <c r="C4" s="52" t="s">
        <v>37</v>
      </c>
      <c r="D4" s="51">
        <f>(LN(Stock/Exercise)+(Rate-dividend_rate+(Sigma^2)/2)*Time)/(Sigma*SQRT(Time))</f>
        <v>-1.4747022181978227</v>
      </c>
      <c r="E4" s="44"/>
      <c r="I4" s="46" t="str">
        <f>GetCF(d_1)</f>
        <v>D4:  =(LN(Stock/Exercise)+(Rate-dividend_rate+(Sigma^2)/2)*Time)/(Sigma*SQRT(Time))</v>
      </c>
      <c r="J4" s="38"/>
      <c r="K4" s="38"/>
      <c r="L4" s="38"/>
      <c r="M4" s="38"/>
      <c r="N4" s="38"/>
      <c r="O4" s="38"/>
      <c r="P4" s="38"/>
    </row>
    <row r="5" spans="2:16" x14ac:dyDescent="0.2">
      <c r="B5" s="40"/>
      <c r="C5" s="52" t="s">
        <v>38</v>
      </c>
      <c r="D5" s="51">
        <f>(LN(Stock/Exercise)+(Rate-dividend_rate-(Sigma^2)/2)*Time)/(Sigma*SQRT(Time))</f>
        <v>-1.4915622181978228</v>
      </c>
      <c r="E5" s="44"/>
      <c r="I5" s="46" t="str">
        <f>GetCF(d_2)</f>
        <v>D5:  =(LN(Stock/Exercise)+(Rate-dividend_rate-(Sigma^2)/2)*Time)/(Sigma*SQRT(Time))</v>
      </c>
      <c r="J5" s="38"/>
      <c r="K5" s="38"/>
      <c r="L5" s="38"/>
      <c r="M5" s="38"/>
      <c r="N5" s="38"/>
      <c r="O5" s="38"/>
      <c r="P5" s="38"/>
    </row>
    <row r="6" spans="2:16" x14ac:dyDescent="0.2">
      <c r="B6" s="40"/>
      <c r="C6" s="52" t="s">
        <v>39</v>
      </c>
      <c r="D6" s="51">
        <f>_xlfn.NORM.S.DIST(d_1,TRUE)</f>
        <v>7.0146309734518658E-2</v>
      </c>
      <c r="E6" s="44"/>
      <c r="I6" s="46" t="str">
        <f>GetCF(Nd_1)</f>
        <v>D6:  =NORM.S.DIST(d_1,TRUE)</v>
      </c>
      <c r="J6" s="38"/>
      <c r="K6" s="38"/>
      <c r="L6" s="38"/>
      <c r="M6" s="38"/>
      <c r="N6" s="38"/>
      <c r="O6" s="38"/>
      <c r="P6" s="38"/>
    </row>
    <row r="7" spans="2:16" x14ac:dyDescent="0.2">
      <c r="B7" s="40"/>
      <c r="C7" s="52" t="s">
        <v>40</v>
      </c>
      <c r="D7" s="51">
        <f>_xlfn.NORM.S.DIST(d_2,TRUE)</f>
        <v>6.7906974525975411E-2</v>
      </c>
      <c r="E7" s="44"/>
      <c r="I7" s="46" t="str">
        <f>GetCF(Nd_2)</f>
        <v>D7:  =NORM.S.DIST(d_2,TRUE)</v>
      </c>
      <c r="J7" s="38"/>
      <c r="K7" s="38"/>
      <c r="L7" s="38"/>
      <c r="M7" s="38"/>
      <c r="N7" s="38"/>
      <c r="O7" s="38"/>
      <c r="P7" s="38"/>
    </row>
    <row r="8" spans="2:16" x14ac:dyDescent="0.2">
      <c r="B8" s="40"/>
      <c r="C8" s="52" t="s">
        <v>41</v>
      </c>
      <c r="D8" s="51">
        <f>_xlfn.NORM.S.DIST(-d_1,TRUE)</f>
        <v>0.92985369026548137</v>
      </c>
      <c r="E8" s="44"/>
      <c r="I8" s="46" t="str">
        <f>GetCF(Nminusd_1)</f>
        <v>D8:  =NORM.S.DIST(-d_1,TRUE)</v>
      </c>
      <c r="J8" s="38"/>
      <c r="K8" s="38"/>
      <c r="L8" s="38"/>
      <c r="M8" s="38"/>
      <c r="N8" s="38"/>
      <c r="O8" s="38"/>
      <c r="P8" s="38"/>
    </row>
    <row r="9" spans="2:16" ht="16" thickBot="1" x14ac:dyDescent="0.25">
      <c r="B9" s="40"/>
      <c r="C9" s="52" t="s">
        <v>42</v>
      </c>
      <c r="D9" s="51">
        <f>_xlfn.NORM.S.DIST(-d_2,TRUE)</f>
        <v>0.93209302547402462</v>
      </c>
      <c r="E9" s="44"/>
      <c r="I9" s="46" t="str">
        <f>GetCF(Nminusd_2)</f>
        <v>D9:  =NORM.S.DIST(-d_2,TRUE)</v>
      </c>
      <c r="J9" s="38"/>
      <c r="K9" s="38"/>
      <c r="L9" s="38"/>
      <c r="M9" s="38"/>
      <c r="N9" s="38"/>
      <c r="O9" s="38"/>
      <c r="P9" s="38"/>
    </row>
    <row r="10" spans="2:16" ht="14.25" hidden="1" customHeight="1" x14ac:dyDescent="0.2">
      <c r="B10" s="40"/>
      <c r="C10" s="35" t="s">
        <v>10</v>
      </c>
      <c r="D10" s="34">
        <f>Stock*Nd_1*EXP(-dividend_rate*Time)-Exercise*EXP(-Rate*Time)*Nd_2</f>
        <v>7.4847739574716243E-2</v>
      </c>
      <c r="E10" s="44"/>
      <c r="I10" s="46" t="str">
        <f t="shared" ref="I10:I11" si="0">GetCF(D10)</f>
        <v>D10:  =Stock*Nd_1*EXP(-dividend_rate*Time)-Exercise*EXP(-Rate*Time)*Nd_2</v>
      </c>
      <c r="J10" s="38"/>
      <c r="K10" s="38"/>
      <c r="L10" s="38"/>
      <c r="M10" s="38"/>
      <c r="N10" s="38"/>
      <c r="O10" s="38"/>
      <c r="P10" s="38"/>
    </row>
    <row r="11" spans="2:16" ht="16" hidden="1" thickBot="1" x14ac:dyDescent="0.25">
      <c r="B11" s="40"/>
      <c r="C11" s="35" t="s">
        <v>13</v>
      </c>
      <c r="D11" s="36">
        <f>Exercise*EXP(-Rate*Time)*Nminusd_2-Stock*Nminusd_1*EXP(-dividend_rate*Time)</f>
        <v>3.7203838342954896</v>
      </c>
      <c r="E11" s="44"/>
      <c r="I11" s="46" t="str">
        <f t="shared" si="0"/>
        <v>D11:  =Exercise*EXP(-Rate*Time)*Nminusd_2-Stock*Nminusd_1*EXP(-dividend_rate*Time)</v>
      </c>
      <c r="J11" s="38"/>
      <c r="K11" s="38"/>
      <c r="L11" s="38"/>
      <c r="M11" s="38"/>
      <c r="N11" s="38"/>
      <c r="O11" s="38"/>
      <c r="P11" s="38"/>
    </row>
    <row r="12" spans="2:16" ht="33" thickBot="1" x14ac:dyDescent="0.25">
      <c r="B12" s="41"/>
      <c r="C12" s="48" t="s">
        <v>43</v>
      </c>
      <c r="D12" s="50">
        <f>IF(bs_option_type="Call",Stock*Nd_1*EXP(-dividend_rate*Time)-Exercise*EXP(-Rate*Time)*Nd_2,IF(bs_option_type="Put",Exercise*EXP(-Rate*Time)*Nminusd_2-Stock*Nminusd_1*EXP(-dividend_rate*Time),"Please choose an option type (Call or Put)"))</f>
        <v>7.4847739574716243E-2</v>
      </c>
      <c r="E12" s="45"/>
      <c r="I12" s="75" t="str">
        <f>"If it's a call then we calculate as the following: "&amp;RIGHT(GetCF(D10),LEN(GetCF(D10))-FIND("=",GetCF(D10)))</f>
        <v>If it's a call then we calculate as the following: Stock*Nd_1*EXP(-dividend_rate*Time)-Exercise*EXP(-Rate*Time)*Nd_2</v>
      </c>
      <c r="J12" s="38"/>
      <c r="K12" s="38"/>
      <c r="L12" s="38"/>
      <c r="M12" s="38"/>
      <c r="N12" s="38"/>
      <c r="O12" s="38"/>
      <c r="P12" s="38"/>
    </row>
    <row r="13" spans="2:16" ht="33" thickBot="1" x14ac:dyDescent="0.25">
      <c r="I13" s="75" t="str">
        <f>"when it's a put, we use the following expression: "&amp;RIGHT(GetCF(D11),LEN(GetCF(D11))-FIND("=",GetCF(D11)))</f>
        <v>when it's a put, we use the following expression: Exercise*EXP(-Rate*Time)*Nminusd_2-Stock*Nminusd_1*EXP(-dividend_rate*Time)</v>
      </c>
      <c r="J13" s="38"/>
      <c r="K13" s="38"/>
      <c r="L13" s="38"/>
      <c r="M13" s="38"/>
      <c r="N13" s="38"/>
      <c r="O13" s="38"/>
      <c r="P13" s="38"/>
    </row>
    <row r="14" spans="2:16" ht="16" thickBot="1" x14ac:dyDescent="0.25">
      <c r="C14" s="49" t="s">
        <v>44</v>
      </c>
      <c r="D14" s="50">
        <v>7.4847739574716243E-2</v>
      </c>
    </row>
    <row r="16" spans="2:16" ht="32" x14ac:dyDescent="0.2">
      <c r="C16" s="76" t="s">
        <v>51</v>
      </c>
      <c r="D16" s="47" t="b">
        <f>vba_bs_result=D12</f>
        <v>1</v>
      </c>
      <c r="E16" s="58"/>
    </row>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mergeCells count="1">
    <mergeCell ref="B2:E2"/>
  </mergeCells>
  <conditionalFormatting sqref="D16">
    <cfRule type="cellIs" dxfId="7" priority="1" operator="equal">
      <formula>"FALSE"</formula>
    </cfRule>
  </conditionalFormatting>
  <conditionalFormatting sqref="D16">
    <cfRule type="containsText" dxfId="6"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InputsSheet">
                <anchor moveWithCells="1" sizeWithCells="1">
                  <from>
                    <xdr:col>5</xdr:col>
                    <xdr:colOff>152400</xdr:colOff>
                    <xdr:row>2</xdr:row>
                    <xdr:rowOff>165100</xdr:rowOff>
                  </from>
                  <to>
                    <xdr:col>7</xdr:col>
                    <xdr:colOff>508000</xdr:colOff>
                    <xdr:row>4</xdr:row>
                    <xdr:rowOff>165100</xdr:rowOff>
                  </to>
                </anchor>
              </controlPr>
            </control>
          </mc:Choice>
        </mc:AlternateContent>
        <mc:AlternateContent xmlns:mc="http://schemas.openxmlformats.org/markup-compatibility/2006">
          <mc:Choice Requires="x14">
            <control shapeId="8194" r:id="rId4" name="Button 2">
              <controlPr defaultSize="0" print="0" autoFill="0" autoPict="0" macro="[0]!ReadMeSheet">
                <anchor moveWithCells="1" sizeWithCells="1">
                  <from>
                    <xdr:col>5</xdr:col>
                    <xdr:colOff>177800</xdr:colOff>
                    <xdr:row>6</xdr:row>
                    <xdr:rowOff>114300</xdr:rowOff>
                  </from>
                  <to>
                    <xdr:col>7</xdr:col>
                    <xdr:colOff>533400</xdr:colOff>
                    <xdr:row>8</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B1B-E237-B34B-B817-2171EE7E7C28}">
  <dimension ref="A1:D43"/>
  <sheetViews>
    <sheetView tabSelected="1" workbookViewId="0">
      <selection activeCell="E24" sqref="E24"/>
    </sheetView>
  </sheetViews>
  <sheetFormatPr baseColWidth="10" defaultRowHeight="14" x14ac:dyDescent="0.15"/>
  <cols>
    <col min="2" max="2" width="13.5" customWidth="1"/>
    <col min="3" max="3" width="16.1640625" customWidth="1"/>
    <col min="4" max="4" width="15.83203125" customWidth="1"/>
  </cols>
  <sheetData>
    <row r="1" spans="1:4" ht="15" x14ac:dyDescent="0.15">
      <c r="A1" s="79" t="s">
        <v>52</v>
      </c>
      <c r="B1" s="79" t="s">
        <v>53</v>
      </c>
      <c r="C1" s="79" t="s">
        <v>54</v>
      </c>
      <c r="D1" s="80" t="s">
        <v>55</v>
      </c>
    </row>
    <row r="2" spans="1:4" ht="15" x14ac:dyDescent="0.15">
      <c r="A2" s="79">
        <v>1980</v>
      </c>
      <c r="B2" s="81">
        <v>0</v>
      </c>
      <c r="C2" s="81">
        <v>0.1065217869786116</v>
      </c>
      <c r="D2" s="78">
        <f>B2/C2</f>
        <v>0</v>
      </c>
    </row>
    <row r="3" spans="1:4" ht="15" x14ac:dyDescent="0.15">
      <c r="A3" s="79">
        <v>1981</v>
      </c>
      <c r="B3" s="82">
        <v>0</v>
      </c>
      <c r="C3" s="82">
        <v>8.5080542804106415E-2</v>
      </c>
      <c r="D3" s="77">
        <f t="shared" ref="D3:D43" si="0">B3/C3</f>
        <v>0</v>
      </c>
    </row>
    <row r="4" spans="1:4" ht="15" x14ac:dyDescent="0.15">
      <c r="A4" s="79">
        <v>1982</v>
      </c>
      <c r="B4" s="82">
        <v>0</v>
      </c>
      <c r="C4" s="82">
        <v>6.6983272847921951E-2</v>
      </c>
      <c r="D4" s="77">
        <f t="shared" si="0"/>
        <v>0</v>
      </c>
    </row>
    <row r="5" spans="1:4" ht="15" x14ac:dyDescent="0.15">
      <c r="A5" s="79">
        <v>1983</v>
      </c>
      <c r="B5" s="82">
        <v>0</v>
      </c>
      <c r="C5" s="82">
        <v>0.1311105452625177</v>
      </c>
      <c r="D5" s="77">
        <f t="shared" si="0"/>
        <v>0</v>
      </c>
    </row>
    <row r="6" spans="1:4" ht="15" x14ac:dyDescent="0.15">
      <c r="A6" s="79">
        <v>1984</v>
      </c>
      <c r="B6" s="82">
        <v>0</v>
      </c>
      <c r="C6" s="82">
        <v>9.3783493393023498E-2</v>
      </c>
      <c r="D6" s="77">
        <f t="shared" si="0"/>
        <v>0</v>
      </c>
    </row>
    <row r="7" spans="1:4" ht="15" x14ac:dyDescent="0.15">
      <c r="A7" s="79">
        <v>1985</v>
      </c>
      <c r="B7" s="82">
        <v>0</v>
      </c>
      <c r="C7" s="82">
        <v>7.0725643312528966E-2</v>
      </c>
      <c r="D7" s="77">
        <f t="shared" si="0"/>
        <v>0</v>
      </c>
    </row>
    <row r="8" spans="1:4" ht="15" x14ac:dyDescent="0.15">
      <c r="A8" s="79">
        <v>1986</v>
      </c>
      <c r="B8" s="82">
        <v>0</v>
      </c>
      <c r="C8" s="82">
        <v>0.1135837142999935</v>
      </c>
      <c r="D8" s="77">
        <f t="shared" si="0"/>
        <v>0</v>
      </c>
    </row>
    <row r="9" spans="1:4" ht="15" x14ac:dyDescent="0.15">
      <c r="A9" s="79">
        <v>1987</v>
      </c>
      <c r="B9" s="82">
        <v>1.786E-3</v>
      </c>
      <c r="C9" s="82">
        <v>0.27309671821801562</v>
      </c>
      <c r="D9" s="77">
        <f t="shared" si="0"/>
        <v>6.5398076243970817E-3</v>
      </c>
    </row>
    <row r="10" spans="1:4" ht="15" x14ac:dyDescent="0.15">
      <c r="A10" s="79">
        <v>1988</v>
      </c>
      <c r="B10" s="82">
        <v>3.0349999999999999E-3</v>
      </c>
      <c r="C10" s="82">
        <v>0.29331577295371197</v>
      </c>
      <c r="D10" s="77">
        <f t="shared" si="0"/>
        <v>1.0347210344119312E-2</v>
      </c>
    </row>
    <row r="11" spans="1:4" ht="15" x14ac:dyDescent="0.15">
      <c r="A11" s="79">
        <v>1989</v>
      </c>
      <c r="B11" s="82">
        <v>3.6610000000000002E-3</v>
      </c>
      <c r="C11" s="82">
        <v>0.29696938904031872</v>
      </c>
      <c r="D11" s="77">
        <f t="shared" si="0"/>
        <v>1.2327869925687716E-2</v>
      </c>
    </row>
    <row r="12" spans="1:4" ht="15" x14ac:dyDescent="0.15">
      <c r="A12" s="79">
        <v>1990</v>
      </c>
      <c r="B12" s="82">
        <v>4.0169999999999997E-3</v>
      </c>
      <c r="C12" s="82">
        <v>0.27066121088421857</v>
      </c>
      <c r="D12" s="77">
        <f t="shared" si="0"/>
        <v>1.4841432161176438E-2</v>
      </c>
    </row>
    <row r="13" spans="1:4" ht="15" x14ac:dyDescent="0.15">
      <c r="A13" s="79">
        <v>1991</v>
      </c>
      <c r="B13" s="82">
        <v>4.2839999999999996E-3</v>
      </c>
      <c r="C13" s="82">
        <v>0.38236234039657202</v>
      </c>
      <c r="D13" s="77">
        <f t="shared" si="0"/>
        <v>1.1204032268336871E-2</v>
      </c>
    </row>
    <row r="14" spans="1:4" ht="15" x14ac:dyDescent="0.15">
      <c r="A14" s="79">
        <v>1992</v>
      </c>
      <c r="B14" s="82">
        <v>4.2839999999999996E-3</v>
      </c>
      <c r="C14" s="82">
        <v>0.40267600705773809</v>
      </c>
      <c r="D14" s="77">
        <f t="shared" si="0"/>
        <v>1.0638826065903981E-2</v>
      </c>
    </row>
    <row r="15" spans="1:4" ht="15" x14ac:dyDescent="0.15">
      <c r="A15" s="79">
        <v>1993</v>
      </c>
      <c r="B15" s="82">
        <v>4.2839999999999996E-3</v>
      </c>
      <c r="C15" s="82">
        <v>0.30420493967683893</v>
      </c>
      <c r="D15" s="77">
        <f t="shared" si="0"/>
        <v>1.408261155966419E-2</v>
      </c>
    </row>
    <row r="16" spans="1:4" ht="15" x14ac:dyDescent="0.15">
      <c r="A16" s="79">
        <v>1994</v>
      </c>
      <c r="B16" s="82">
        <v>4.2839999999999996E-3</v>
      </c>
      <c r="C16" s="82">
        <v>0.25665368258006988</v>
      </c>
      <c r="D16" s="77">
        <f t="shared" si="0"/>
        <v>1.6691753482490915E-2</v>
      </c>
    </row>
    <row r="17" spans="1:4" ht="15" x14ac:dyDescent="0.15">
      <c r="A17" s="79">
        <v>1995</v>
      </c>
      <c r="B17" s="82">
        <v>4.2839999999999996E-3</v>
      </c>
      <c r="C17" s="82">
        <v>0.30893711893567971</v>
      </c>
      <c r="D17" s="77">
        <f t="shared" si="0"/>
        <v>1.3866899564412402E-2</v>
      </c>
    </row>
    <row r="18" spans="1:4" ht="15" x14ac:dyDescent="0.15">
      <c r="A18" s="79">
        <v>1996</v>
      </c>
      <c r="B18" s="82">
        <v>0</v>
      </c>
      <c r="C18" s="82">
        <v>0.19103815846555819</v>
      </c>
      <c r="D18" s="77">
        <f t="shared" si="0"/>
        <v>0</v>
      </c>
    </row>
    <row r="19" spans="1:4" ht="15" x14ac:dyDescent="0.15">
      <c r="A19" s="79">
        <v>1997</v>
      </c>
      <c r="B19" s="82">
        <v>0</v>
      </c>
      <c r="C19" s="82">
        <v>0.13773724283625491</v>
      </c>
      <c r="D19" s="77">
        <f t="shared" si="0"/>
        <v>0</v>
      </c>
    </row>
    <row r="20" spans="1:4" ht="15" x14ac:dyDescent="0.15">
      <c r="A20" s="79">
        <v>1998</v>
      </c>
      <c r="B20" s="82">
        <v>0</v>
      </c>
      <c r="C20" s="82">
        <v>0.23431682669454151</v>
      </c>
      <c r="D20" s="77">
        <f t="shared" si="0"/>
        <v>0</v>
      </c>
    </row>
    <row r="21" spans="1:4" ht="15" x14ac:dyDescent="0.15">
      <c r="A21" s="79">
        <v>1999</v>
      </c>
      <c r="B21" s="82">
        <v>0</v>
      </c>
      <c r="C21" s="82">
        <v>0.44287906457034371</v>
      </c>
      <c r="D21" s="77">
        <f t="shared" si="0"/>
        <v>0</v>
      </c>
    </row>
    <row r="22" spans="1:4" ht="15" x14ac:dyDescent="0.15">
      <c r="A22" s="79">
        <v>2000</v>
      </c>
      <c r="B22" s="82">
        <v>0</v>
      </c>
      <c r="C22" s="82">
        <v>0.70087427019126836</v>
      </c>
      <c r="D22" s="77">
        <f t="shared" si="0"/>
        <v>0</v>
      </c>
    </row>
    <row r="23" spans="1:4" ht="15" x14ac:dyDescent="0.15">
      <c r="A23" s="79">
        <v>2001</v>
      </c>
      <c r="B23" s="82">
        <v>0</v>
      </c>
      <c r="C23" s="82">
        <v>0.31001324428906363</v>
      </c>
      <c r="D23" s="77">
        <f t="shared" si="0"/>
        <v>0</v>
      </c>
    </row>
    <row r="24" spans="1:4" ht="15" x14ac:dyDescent="0.15">
      <c r="A24" s="79">
        <v>2002</v>
      </c>
      <c r="B24" s="82">
        <v>0</v>
      </c>
      <c r="C24" s="82">
        <v>0.2934543395207988</v>
      </c>
      <c r="D24" s="77">
        <f t="shared" si="0"/>
        <v>0</v>
      </c>
    </row>
    <row r="25" spans="1:4" ht="15" x14ac:dyDescent="0.15">
      <c r="A25" s="79">
        <v>2003</v>
      </c>
      <c r="B25" s="82">
        <v>0</v>
      </c>
      <c r="C25" s="82">
        <v>0.28433637255950578</v>
      </c>
      <c r="D25" s="77">
        <f t="shared" si="0"/>
        <v>0</v>
      </c>
    </row>
    <row r="26" spans="1:4" ht="15" x14ac:dyDescent="0.15">
      <c r="A26" s="79">
        <v>2004</v>
      </c>
      <c r="B26" s="82">
        <v>0</v>
      </c>
      <c r="C26" s="82">
        <v>0.54471460481484735</v>
      </c>
      <c r="D26" s="77">
        <f t="shared" si="0"/>
        <v>0</v>
      </c>
    </row>
    <row r="27" spans="1:4" ht="15" x14ac:dyDescent="0.15">
      <c r="A27" s="79">
        <v>2005</v>
      </c>
      <c r="B27" s="82">
        <v>0</v>
      </c>
      <c r="C27" s="82">
        <v>1.431314524913591</v>
      </c>
      <c r="D27" s="77">
        <f t="shared" si="0"/>
        <v>0</v>
      </c>
    </row>
    <row r="28" spans="1:4" ht="15" x14ac:dyDescent="0.15">
      <c r="A28" s="79">
        <v>2006</v>
      </c>
      <c r="B28" s="82">
        <v>0</v>
      </c>
      <c r="C28" s="82">
        <v>2.1713991070173648</v>
      </c>
      <c r="D28" s="77">
        <f t="shared" si="0"/>
        <v>0</v>
      </c>
    </row>
    <row r="29" spans="1:4" ht="15" x14ac:dyDescent="0.15">
      <c r="A29" s="79">
        <v>2007</v>
      </c>
      <c r="B29" s="82">
        <v>0</v>
      </c>
      <c r="C29" s="82">
        <v>3.9335028507794991</v>
      </c>
      <c r="D29" s="77">
        <f t="shared" si="0"/>
        <v>0</v>
      </c>
    </row>
    <row r="30" spans="1:4" ht="15" x14ac:dyDescent="0.15">
      <c r="A30" s="79">
        <v>2008</v>
      </c>
      <c r="B30" s="82">
        <v>0</v>
      </c>
      <c r="C30" s="82">
        <v>4.3537681649324922</v>
      </c>
      <c r="D30" s="77">
        <f t="shared" si="0"/>
        <v>0</v>
      </c>
    </row>
    <row r="31" spans="1:4" ht="15" x14ac:dyDescent="0.15">
      <c r="A31" s="79">
        <v>2009</v>
      </c>
      <c r="B31" s="82">
        <v>0</v>
      </c>
      <c r="C31" s="82">
        <v>4.5020362763177779</v>
      </c>
      <c r="D31" s="77">
        <f t="shared" si="0"/>
        <v>0</v>
      </c>
    </row>
    <row r="32" spans="1:4" ht="15" x14ac:dyDescent="0.15">
      <c r="A32" s="79">
        <v>2010</v>
      </c>
      <c r="B32" s="82">
        <v>0</v>
      </c>
      <c r="C32" s="82">
        <v>7.9680358360684096</v>
      </c>
      <c r="D32" s="77">
        <f t="shared" si="0"/>
        <v>0</v>
      </c>
    </row>
    <row r="33" spans="1:4" ht="15" x14ac:dyDescent="0.15">
      <c r="A33" s="79">
        <v>2011</v>
      </c>
      <c r="B33" s="82">
        <v>0</v>
      </c>
      <c r="C33" s="82">
        <v>11.162145970359679</v>
      </c>
      <c r="D33" s="77">
        <f t="shared" si="0"/>
        <v>0</v>
      </c>
    </row>
    <row r="34" spans="1:4" ht="15" x14ac:dyDescent="0.15">
      <c r="A34" s="79">
        <v>2012</v>
      </c>
      <c r="B34" s="82">
        <v>0.18928600000000001</v>
      </c>
      <c r="C34" s="82">
        <v>17.707353351593021</v>
      </c>
      <c r="D34" s="77">
        <f t="shared" si="0"/>
        <v>1.0689683333335137E-2</v>
      </c>
    </row>
    <row r="35" spans="1:4" ht="15" x14ac:dyDescent="0.15">
      <c r="A35" s="79">
        <v>2013</v>
      </c>
      <c r="B35" s="82">
        <v>0.42143000000000003</v>
      </c>
      <c r="C35" s="82">
        <v>14.82077531965952</v>
      </c>
      <c r="D35" s="77">
        <f t="shared" si="0"/>
        <v>2.8435084596483959E-2</v>
      </c>
    </row>
    <row r="36" spans="1:4" ht="15" x14ac:dyDescent="0.15">
      <c r="A36" s="79">
        <v>2014</v>
      </c>
      <c r="B36" s="82">
        <v>0.46142899999999998</v>
      </c>
      <c r="C36" s="82">
        <v>20.742143449329191</v>
      </c>
      <c r="D36" s="77">
        <f t="shared" si="0"/>
        <v>2.2245965135050821E-2</v>
      </c>
    </row>
    <row r="37" spans="1:4" ht="15" x14ac:dyDescent="0.15">
      <c r="A37" s="79">
        <v>2015</v>
      </c>
      <c r="B37" s="82">
        <v>0.50750000000000006</v>
      </c>
      <c r="C37" s="82">
        <v>27.447819369179861</v>
      </c>
      <c r="D37" s="77">
        <f t="shared" si="0"/>
        <v>1.8489629109475013E-2</v>
      </c>
    </row>
    <row r="38" spans="1:4" ht="15" x14ac:dyDescent="0.15">
      <c r="A38" s="79">
        <v>2016</v>
      </c>
      <c r="B38" s="82">
        <v>0.55749999999999988</v>
      </c>
      <c r="C38" s="82">
        <v>24.414201622917538</v>
      </c>
      <c r="D38" s="77">
        <f t="shared" si="0"/>
        <v>2.2835069874931987E-2</v>
      </c>
    </row>
    <row r="39" spans="1:4" ht="15" x14ac:dyDescent="0.15">
      <c r="A39" s="79">
        <v>2017</v>
      </c>
      <c r="B39" s="82">
        <v>0.61499999999999999</v>
      </c>
      <c r="C39" s="82">
        <v>35.800815164330473</v>
      </c>
      <c r="D39" s="77">
        <f t="shared" si="0"/>
        <v>1.7178379798813762E-2</v>
      </c>
    </row>
    <row r="40" spans="1:4" ht="15" x14ac:dyDescent="0.15">
      <c r="A40" s="79">
        <v>2018</v>
      </c>
      <c r="B40" s="82">
        <v>0.70499999999999996</v>
      </c>
      <c r="C40" s="82">
        <v>45.641665485275688</v>
      </c>
      <c r="D40" s="77">
        <f t="shared" si="0"/>
        <v>1.5446412669306245E-2</v>
      </c>
    </row>
    <row r="41" spans="1:4" ht="15" x14ac:dyDescent="0.15">
      <c r="A41" s="79">
        <v>2019</v>
      </c>
      <c r="B41" s="82">
        <v>0.76</v>
      </c>
      <c r="C41" s="82">
        <v>51.071052808610219</v>
      </c>
      <c r="D41" s="77">
        <f t="shared" si="0"/>
        <v>1.488122837115019E-2</v>
      </c>
    </row>
    <row r="42" spans="1:4" ht="15" x14ac:dyDescent="0.15">
      <c r="A42" s="79">
        <v>2020</v>
      </c>
      <c r="B42" s="82">
        <v>0.80749999999999988</v>
      </c>
      <c r="C42" s="82">
        <v>94.599326197808907</v>
      </c>
      <c r="D42" s="77">
        <f t="shared" si="0"/>
        <v>8.5360016022894575E-3</v>
      </c>
    </row>
    <row r="43" spans="1:4" ht="15" x14ac:dyDescent="0.15">
      <c r="A43" s="79">
        <v>2021</v>
      </c>
      <c r="B43" s="82">
        <v>0.64500000000000002</v>
      </c>
      <c r="C43" s="82">
        <v>135.5709469799925</v>
      </c>
      <c r="D43" s="77">
        <f t="shared" si="0"/>
        <v>4.7576565213134411E-3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G1000"/>
  <sheetViews>
    <sheetView workbookViewId="0"/>
  </sheetViews>
  <sheetFormatPr baseColWidth="10" defaultColWidth="12.6640625" defaultRowHeight="15" customHeight="1" x14ac:dyDescent="0.15"/>
  <cols>
    <col min="1" max="1" width="9.6640625" customWidth="1"/>
    <col min="2" max="26" width="7.6640625" customWidth="1"/>
  </cols>
  <sheetData>
    <row r="2" spans="1:7" x14ac:dyDescent="0.2">
      <c r="A2" s="26" t="s">
        <v>45</v>
      </c>
      <c r="F2" s="4" t="s">
        <v>46</v>
      </c>
      <c r="G2" s="4" t="s">
        <v>47</v>
      </c>
    </row>
    <row r="3" spans="1:7" x14ac:dyDescent="0.2">
      <c r="A3" s="26" t="s">
        <v>10</v>
      </c>
      <c r="E3" s="4">
        <v>-100</v>
      </c>
      <c r="F3" s="27">
        <f t="shared" ref="F3:F66" si="0">Stock+(E3/100)*Stock</f>
        <v>0</v>
      </c>
      <c r="G3" s="28">
        <f t="shared" ref="G3:G66" si="1">IF(bs_option_type="Call",IF(((F3-Stock-1%*Stock))&lt;-1%*Stock,-1%*Stock,(F3-Stock-1%*Stock)*1),IF((Exercise-1%*Stock)-F3&lt;-1%*Stock,-1%*Stock,(Exercise-1%*Stock)-F3))</f>
        <v>-1.4484000000000001</v>
      </c>
    </row>
    <row r="4" spans="1:7" x14ac:dyDescent="0.2">
      <c r="A4" s="26" t="s">
        <v>13</v>
      </c>
      <c r="E4" s="4">
        <f t="shared" ref="E4:E203" si="2">E3+1</f>
        <v>-99</v>
      </c>
      <c r="F4" s="27">
        <f t="shared" si="0"/>
        <v>1.4483999999999924</v>
      </c>
      <c r="G4" s="28">
        <f t="shared" si="1"/>
        <v>-1.4484000000000001</v>
      </c>
    </row>
    <row r="5" spans="1:7" x14ac:dyDescent="0.2">
      <c r="E5" s="4">
        <f t="shared" si="2"/>
        <v>-98</v>
      </c>
      <c r="F5" s="27">
        <f t="shared" si="0"/>
        <v>2.8968000000000131</v>
      </c>
      <c r="G5" s="28">
        <f t="shared" si="1"/>
        <v>-1.4484000000000001</v>
      </c>
    </row>
    <row r="6" spans="1:7" x14ac:dyDescent="0.2">
      <c r="E6" s="4">
        <f t="shared" si="2"/>
        <v>-97</v>
      </c>
      <c r="F6" s="27">
        <f t="shared" si="0"/>
        <v>4.3452000000000055</v>
      </c>
      <c r="G6" s="28">
        <f t="shared" si="1"/>
        <v>-1.4484000000000001</v>
      </c>
    </row>
    <row r="7" spans="1:7" x14ac:dyDescent="0.2">
      <c r="E7" s="4">
        <f t="shared" si="2"/>
        <v>-96</v>
      </c>
      <c r="F7" s="27">
        <f t="shared" si="0"/>
        <v>5.7935999999999979</v>
      </c>
      <c r="G7" s="28">
        <f t="shared" si="1"/>
        <v>-1.4484000000000001</v>
      </c>
    </row>
    <row r="8" spans="1:7" x14ac:dyDescent="0.2">
      <c r="E8" s="4">
        <f t="shared" si="2"/>
        <v>-95</v>
      </c>
      <c r="F8" s="27">
        <f t="shared" si="0"/>
        <v>7.2420000000000186</v>
      </c>
      <c r="G8" s="28">
        <f t="shared" si="1"/>
        <v>-1.4484000000000001</v>
      </c>
    </row>
    <row r="9" spans="1:7" x14ac:dyDescent="0.2">
      <c r="E9" s="4">
        <f t="shared" si="2"/>
        <v>-94</v>
      </c>
      <c r="F9" s="27">
        <f t="shared" si="0"/>
        <v>8.690400000000011</v>
      </c>
      <c r="G9" s="28">
        <f t="shared" si="1"/>
        <v>-1.4484000000000001</v>
      </c>
    </row>
    <row r="10" spans="1:7" x14ac:dyDescent="0.2">
      <c r="E10" s="4">
        <f t="shared" si="2"/>
        <v>-93</v>
      </c>
      <c r="F10" s="27">
        <f t="shared" si="0"/>
        <v>10.138800000000003</v>
      </c>
      <c r="G10" s="28">
        <f t="shared" si="1"/>
        <v>-1.4484000000000001</v>
      </c>
    </row>
    <row r="11" spans="1:7" x14ac:dyDescent="0.2">
      <c r="E11" s="4">
        <f t="shared" si="2"/>
        <v>-92</v>
      </c>
      <c r="F11" s="27">
        <f t="shared" si="0"/>
        <v>11.587199999999996</v>
      </c>
      <c r="G11" s="28">
        <f t="shared" si="1"/>
        <v>-1.4484000000000001</v>
      </c>
    </row>
    <row r="12" spans="1:7" x14ac:dyDescent="0.2">
      <c r="E12" s="4">
        <f t="shared" si="2"/>
        <v>-91</v>
      </c>
      <c r="F12" s="27">
        <f t="shared" si="0"/>
        <v>13.035599999999988</v>
      </c>
      <c r="G12" s="28">
        <f t="shared" si="1"/>
        <v>-1.4484000000000001</v>
      </c>
    </row>
    <row r="13" spans="1:7" x14ac:dyDescent="0.2">
      <c r="E13" s="4">
        <f t="shared" si="2"/>
        <v>-90</v>
      </c>
      <c r="F13" s="27">
        <f t="shared" si="0"/>
        <v>14.484000000000009</v>
      </c>
      <c r="G13" s="28">
        <f t="shared" si="1"/>
        <v>-1.4484000000000001</v>
      </c>
    </row>
    <row r="14" spans="1:7" x14ac:dyDescent="0.2">
      <c r="E14" s="4">
        <f t="shared" si="2"/>
        <v>-89</v>
      </c>
      <c r="F14" s="27">
        <f t="shared" si="0"/>
        <v>15.932400000000001</v>
      </c>
      <c r="G14" s="28">
        <f t="shared" si="1"/>
        <v>-1.4484000000000001</v>
      </c>
    </row>
    <row r="15" spans="1:7" x14ac:dyDescent="0.2">
      <c r="E15" s="4">
        <f t="shared" si="2"/>
        <v>-88</v>
      </c>
      <c r="F15" s="27">
        <f t="shared" si="0"/>
        <v>17.380799999999994</v>
      </c>
      <c r="G15" s="28">
        <f t="shared" si="1"/>
        <v>-1.4484000000000001</v>
      </c>
    </row>
    <row r="16" spans="1:7" x14ac:dyDescent="0.2">
      <c r="E16" s="4">
        <f t="shared" si="2"/>
        <v>-87</v>
      </c>
      <c r="F16" s="27">
        <f t="shared" si="0"/>
        <v>18.8292</v>
      </c>
      <c r="G16" s="28">
        <f t="shared" si="1"/>
        <v>-1.4484000000000001</v>
      </c>
    </row>
    <row r="17" spans="5:7" x14ac:dyDescent="0.2">
      <c r="E17" s="4">
        <f t="shared" si="2"/>
        <v>-86</v>
      </c>
      <c r="F17" s="27">
        <f t="shared" si="0"/>
        <v>20.277600000000007</v>
      </c>
      <c r="G17" s="28">
        <f t="shared" si="1"/>
        <v>-1.4484000000000001</v>
      </c>
    </row>
    <row r="18" spans="5:7" x14ac:dyDescent="0.2">
      <c r="E18" s="4">
        <f t="shared" si="2"/>
        <v>-85</v>
      </c>
      <c r="F18" s="27">
        <f t="shared" si="0"/>
        <v>21.725999999999999</v>
      </c>
      <c r="G18" s="28">
        <f t="shared" si="1"/>
        <v>-1.4484000000000001</v>
      </c>
    </row>
    <row r="19" spans="5:7" x14ac:dyDescent="0.2">
      <c r="E19" s="4">
        <f t="shared" si="2"/>
        <v>-84</v>
      </c>
      <c r="F19" s="27">
        <f t="shared" si="0"/>
        <v>23.174400000000006</v>
      </c>
      <c r="G19" s="28">
        <f t="shared" si="1"/>
        <v>-1.4484000000000001</v>
      </c>
    </row>
    <row r="20" spans="5:7" x14ac:dyDescent="0.2">
      <c r="E20" s="4">
        <f t="shared" si="2"/>
        <v>-83</v>
      </c>
      <c r="F20" s="27">
        <f t="shared" si="0"/>
        <v>24.622800000000012</v>
      </c>
      <c r="G20" s="28">
        <f t="shared" si="1"/>
        <v>-1.4484000000000001</v>
      </c>
    </row>
    <row r="21" spans="5:7" ht="15.75" customHeight="1" x14ac:dyDescent="0.2">
      <c r="E21" s="4">
        <f t="shared" si="2"/>
        <v>-82</v>
      </c>
      <c r="F21" s="27">
        <f t="shared" si="0"/>
        <v>26.071200000000005</v>
      </c>
      <c r="G21" s="28">
        <f t="shared" si="1"/>
        <v>-1.4484000000000001</v>
      </c>
    </row>
    <row r="22" spans="5:7" ht="15.75" customHeight="1" x14ac:dyDescent="0.2">
      <c r="E22" s="4">
        <f t="shared" si="2"/>
        <v>-81</v>
      </c>
      <c r="F22" s="27">
        <f t="shared" si="0"/>
        <v>27.519599999999997</v>
      </c>
      <c r="G22" s="28">
        <f t="shared" si="1"/>
        <v>-1.4484000000000001</v>
      </c>
    </row>
    <row r="23" spans="5:7" ht="15.75" customHeight="1" x14ac:dyDescent="0.2">
      <c r="E23" s="4">
        <f t="shared" si="2"/>
        <v>-80</v>
      </c>
      <c r="F23" s="27">
        <f t="shared" si="0"/>
        <v>28.967999999999989</v>
      </c>
      <c r="G23" s="28">
        <f t="shared" si="1"/>
        <v>-1.4484000000000001</v>
      </c>
    </row>
    <row r="24" spans="5:7" ht="15.75" customHeight="1" x14ac:dyDescent="0.2">
      <c r="E24" s="4">
        <f t="shared" si="2"/>
        <v>-79</v>
      </c>
      <c r="F24" s="27">
        <f t="shared" si="0"/>
        <v>30.416399999999996</v>
      </c>
      <c r="G24" s="28">
        <f t="shared" si="1"/>
        <v>-1.4484000000000001</v>
      </c>
    </row>
    <row r="25" spans="5:7" ht="15.75" customHeight="1" x14ac:dyDescent="0.2">
      <c r="E25" s="4">
        <f t="shared" si="2"/>
        <v>-78</v>
      </c>
      <c r="F25" s="27">
        <f t="shared" si="0"/>
        <v>31.864800000000002</v>
      </c>
      <c r="G25" s="28">
        <f t="shared" si="1"/>
        <v>-1.4484000000000001</v>
      </c>
    </row>
    <row r="26" spans="5:7" ht="15.75" customHeight="1" x14ac:dyDescent="0.2">
      <c r="E26" s="4">
        <f t="shared" si="2"/>
        <v>-77</v>
      </c>
      <c r="F26" s="27">
        <f t="shared" si="0"/>
        <v>33.313199999999995</v>
      </c>
      <c r="G26" s="28">
        <f t="shared" si="1"/>
        <v>-1.4484000000000001</v>
      </c>
    </row>
    <row r="27" spans="5:7" ht="15.75" customHeight="1" x14ac:dyDescent="0.2">
      <c r="E27" s="4">
        <f t="shared" si="2"/>
        <v>-76</v>
      </c>
      <c r="F27" s="27">
        <f t="shared" si="0"/>
        <v>34.761600000000001</v>
      </c>
      <c r="G27" s="28">
        <f t="shared" si="1"/>
        <v>-1.4484000000000001</v>
      </c>
    </row>
    <row r="28" spans="5:7" ht="15.75" customHeight="1" x14ac:dyDescent="0.2">
      <c r="E28" s="4">
        <f t="shared" si="2"/>
        <v>-75</v>
      </c>
      <c r="F28" s="27">
        <f t="shared" si="0"/>
        <v>36.210000000000008</v>
      </c>
      <c r="G28" s="28">
        <f t="shared" si="1"/>
        <v>-1.4484000000000001</v>
      </c>
    </row>
    <row r="29" spans="5:7" ht="15.75" customHeight="1" x14ac:dyDescent="0.2">
      <c r="E29" s="4">
        <f t="shared" si="2"/>
        <v>-74</v>
      </c>
      <c r="F29" s="27">
        <f t="shared" si="0"/>
        <v>37.6584</v>
      </c>
      <c r="G29" s="28">
        <f t="shared" si="1"/>
        <v>-1.4484000000000001</v>
      </c>
    </row>
    <row r="30" spans="5:7" ht="15.75" customHeight="1" x14ac:dyDescent="0.2">
      <c r="E30" s="4">
        <f t="shared" si="2"/>
        <v>-73</v>
      </c>
      <c r="F30" s="27">
        <f t="shared" si="0"/>
        <v>39.106800000000007</v>
      </c>
      <c r="G30" s="28">
        <f t="shared" si="1"/>
        <v>-1.4484000000000001</v>
      </c>
    </row>
    <row r="31" spans="5:7" ht="15.75" customHeight="1" x14ac:dyDescent="0.2">
      <c r="E31" s="4">
        <f t="shared" si="2"/>
        <v>-72</v>
      </c>
      <c r="F31" s="27">
        <f t="shared" si="0"/>
        <v>40.555199999999999</v>
      </c>
      <c r="G31" s="28">
        <f t="shared" si="1"/>
        <v>-1.4484000000000001</v>
      </c>
    </row>
    <row r="32" spans="5:7" ht="15.75" customHeight="1" x14ac:dyDescent="0.2">
      <c r="E32" s="4">
        <f t="shared" si="2"/>
        <v>-71</v>
      </c>
      <c r="F32" s="27">
        <f t="shared" si="0"/>
        <v>42.003600000000006</v>
      </c>
      <c r="G32" s="28">
        <f t="shared" si="1"/>
        <v>-1.4484000000000001</v>
      </c>
    </row>
    <row r="33" spans="5:7" ht="15.75" customHeight="1" x14ac:dyDescent="0.2">
      <c r="E33" s="4">
        <f t="shared" si="2"/>
        <v>-70</v>
      </c>
      <c r="F33" s="27">
        <f t="shared" si="0"/>
        <v>43.452000000000012</v>
      </c>
      <c r="G33" s="28">
        <f t="shared" si="1"/>
        <v>-1.4484000000000001</v>
      </c>
    </row>
    <row r="34" spans="5:7" ht="15.75" customHeight="1" x14ac:dyDescent="0.2">
      <c r="E34" s="4">
        <f t="shared" si="2"/>
        <v>-69</v>
      </c>
      <c r="F34" s="27">
        <f t="shared" si="0"/>
        <v>44.900400000000005</v>
      </c>
      <c r="G34" s="28">
        <f t="shared" si="1"/>
        <v>-1.4484000000000001</v>
      </c>
    </row>
    <row r="35" spans="5:7" ht="15.75" customHeight="1" x14ac:dyDescent="0.2">
      <c r="E35" s="4">
        <f t="shared" si="2"/>
        <v>-68</v>
      </c>
      <c r="F35" s="27">
        <f t="shared" si="0"/>
        <v>46.348799999999997</v>
      </c>
      <c r="G35" s="28">
        <f t="shared" si="1"/>
        <v>-1.4484000000000001</v>
      </c>
    </row>
    <row r="36" spans="5:7" ht="15.75" customHeight="1" x14ac:dyDescent="0.2">
      <c r="E36" s="4">
        <f t="shared" si="2"/>
        <v>-67</v>
      </c>
      <c r="F36" s="27">
        <f t="shared" si="0"/>
        <v>47.797199999999989</v>
      </c>
      <c r="G36" s="28">
        <f t="shared" si="1"/>
        <v>-1.4484000000000001</v>
      </c>
    </row>
    <row r="37" spans="5:7" ht="15.75" customHeight="1" x14ac:dyDescent="0.2">
      <c r="E37" s="4">
        <f t="shared" si="2"/>
        <v>-66</v>
      </c>
      <c r="F37" s="27">
        <f t="shared" si="0"/>
        <v>49.245599999999996</v>
      </c>
      <c r="G37" s="28">
        <f t="shared" si="1"/>
        <v>-1.4484000000000001</v>
      </c>
    </row>
    <row r="38" spans="5:7" ht="15.75" customHeight="1" x14ac:dyDescent="0.2">
      <c r="E38" s="4">
        <f t="shared" si="2"/>
        <v>-65</v>
      </c>
      <c r="F38" s="27">
        <f t="shared" si="0"/>
        <v>50.694000000000003</v>
      </c>
      <c r="G38" s="28">
        <f t="shared" si="1"/>
        <v>-1.4484000000000001</v>
      </c>
    </row>
    <row r="39" spans="5:7" ht="15.75" customHeight="1" x14ac:dyDescent="0.2">
      <c r="E39" s="4">
        <f t="shared" si="2"/>
        <v>-64</v>
      </c>
      <c r="F39" s="27">
        <f t="shared" si="0"/>
        <v>52.142399999999995</v>
      </c>
      <c r="G39" s="28">
        <f t="shared" si="1"/>
        <v>-1.4484000000000001</v>
      </c>
    </row>
    <row r="40" spans="5:7" ht="15.75" customHeight="1" x14ac:dyDescent="0.2">
      <c r="E40" s="4">
        <f t="shared" si="2"/>
        <v>-63</v>
      </c>
      <c r="F40" s="27">
        <f t="shared" si="0"/>
        <v>53.590800000000002</v>
      </c>
      <c r="G40" s="28">
        <f t="shared" si="1"/>
        <v>-1.4484000000000001</v>
      </c>
    </row>
    <row r="41" spans="5:7" ht="15.75" customHeight="1" x14ac:dyDescent="0.2">
      <c r="E41" s="4">
        <f t="shared" si="2"/>
        <v>-62</v>
      </c>
      <c r="F41" s="27">
        <f t="shared" si="0"/>
        <v>55.039200000000008</v>
      </c>
      <c r="G41" s="28">
        <f t="shared" si="1"/>
        <v>-1.4484000000000001</v>
      </c>
    </row>
    <row r="42" spans="5:7" ht="15.75" customHeight="1" x14ac:dyDescent="0.2">
      <c r="E42" s="4">
        <f t="shared" si="2"/>
        <v>-61</v>
      </c>
      <c r="F42" s="27">
        <f t="shared" si="0"/>
        <v>56.4876</v>
      </c>
      <c r="G42" s="28">
        <f t="shared" si="1"/>
        <v>-1.4484000000000001</v>
      </c>
    </row>
    <row r="43" spans="5:7" ht="15.75" customHeight="1" x14ac:dyDescent="0.2">
      <c r="E43" s="4">
        <f t="shared" si="2"/>
        <v>-60</v>
      </c>
      <c r="F43" s="27">
        <f t="shared" si="0"/>
        <v>57.936000000000007</v>
      </c>
      <c r="G43" s="28">
        <f t="shared" si="1"/>
        <v>-1.4484000000000001</v>
      </c>
    </row>
    <row r="44" spans="5:7" ht="15.75" customHeight="1" x14ac:dyDescent="0.2">
      <c r="E44" s="4">
        <f t="shared" si="2"/>
        <v>-59</v>
      </c>
      <c r="F44" s="27">
        <f t="shared" si="0"/>
        <v>59.384399999999999</v>
      </c>
      <c r="G44" s="28">
        <f t="shared" si="1"/>
        <v>-1.4484000000000001</v>
      </c>
    </row>
    <row r="45" spans="5:7" ht="15.75" customHeight="1" x14ac:dyDescent="0.2">
      <c r="E45" s="4">
        <f t="shared" si="2"/>
        <v>-58</v>
      </c>
      <c r="F45" s="27">
        <f t="shared" si="0"/>
        <v>60.832800000000006</v>
      </c>
      <c r="G45" s="28">
        <f t="shared" si="1"/>
        <v>-1.4484000000000001</v>
      </c>
    </row>
    <row r="46" spans="5:7" ht="15.75" customHeight="1" x14ac:dyDescent="0.2">
      <c r="E46" s="4">
        <f t="shared" si="2"/>
        <v>-57</v>
      </c>
      <c r="F46" s="27">
        <f t="shared" si="0"/>
        <v>62.281200000000013</v>
      </c>
      <c r="G46" s="28">
        <f t="shared" si="1"/>
        <v>-1.4484000000000001</v>
      </c>
    </row>
    <row r="47" spans="5:7" ht="15.75" customHeight="1" x14ac:dyDescent="0.2">
      <c r="E47" s="4">
        <f t="shared" si="2"/>
        <v>-56</v>
      </c>
      <c r="F47" s="27">
        <f t="shared" si="0"/>
        <v>63.729599999999991</v>
      </c>
      <c r="G47" s="28">
        <f t="shared" si="1"/>
        <v>-1.4484000000000001</v>
      </c>
    </row>
    <row r="48" spans="5:7" ht="15.75" customHeight="1" x14ac:dyDescent="0.2">
      <c r="E48" s="4">
        <f t="shared" si="2"/>
        <v>-55</v>
      </c>
      <c r="F48" s="27">
        <f t="shared" si="0"/>
        <v>65.177999999999997</v>
      </c>
      <c r="G48" s="28">
        <f t="shared" si="1"/>
        <v>-1.4484000000000001</v>
      </c>
    </row>
    <row r="49" spans="5:7" ht="15.75" customHeight="1" x14ac:dyDescent="0.2">
      <c r="E49" s="4">
        <f t="shared" si="2"/>
        <v>-54</v>
      </c>
      <c r="F49" s="27">
        <f t="shared" si="0"/>
        <v>66.62639999999999</v>
      </c>
      <c r="G49" s="28">
        <f t="shared" si="1"/>
        <v>-1.4484000000000001</v>
      </c>
    </row>
    <row r="50" spans="5:7" ht="15.75" customHeight="1" x14ac:dyDescent="0.2">
      <c r="E50" s="4">
        <f t="shared" si="2"/>
        <v>-53</v>
      </c>
      <c r="F50" s="27">
        <f t="shared" si="0"/>
        <v>68.074799999999996</v>
      </c>
      <c r="G50" s="28">
        <f t="shared" si="1"/>
        <v>-1.4484000000000001</v>
      </c>
    </row>
    <row r="51" spans="5:7" ht="15.75" customHeight="1" x14ac:dyDescent="0.2">
      <c r="E51" s="4">
        <f t="shared" si="2"/>
        <v>-52</v>
      </c>
      <c r="F51" s="27">
        <f t="shared" si="0"/>
        <v>69.523200000000003</v>
      </c>
      <c r="G51" s="28">
        <f t="shared" si="1"/>
        <v>-1.4484000000000001</v>
      </c>
    </row>
    <row r="52" spans="5:7" ht="15.75" customHeight="1" x14ac:dyDescent="0.2">
      <c r="E52" s="4">
        <f t="shared" si="2"/>
        <v>-51</v>
      </c>
      <c r="F52" s="27">
        <f t="shared" si="0"/>
        <v>70.971599999999995</v>
      </c>
      <c r="G52" s="28">
        <f t="shared" si="1"/>
        <v>-1.4484000000000001</v>
      </c>
    </row>
    <row r="53" spans="5:7" ht="15.75" customHeight="1" x14ac:dyDescent="0.2">
      <c r="E53" s="4">
        <f t="shared" si="2"/>
        <v>-50</v>
      </c>
      <c r="F53" s="27">
        <f t="shared" si="0"/>
        <v>72.42</v>
      </c>
      <c r="G53" s="28">
        <f t="shared" si="1"/>
        <v>-1.4484000000000001</v>
      </c>
    </row>
    <row r="54" spans="5:7" ht="15.75" customHeight="1" x14ac:dyDescent="0.2">
      <c r="E54" s="4">
        <f t="shared" si="2"/>
        <v>-49</v>
      </c>
      <c r="F54" s="27">
        <f t="shared" si="0"/>
        <v>73.868400000000008</v>
      </c>
      <c r="G54" s="28">
        <f t="shared" si="1"/>
        <v>-1.4484000000000001</v>
      </c>
    </row>
    <row r="55" spans="5:7" ht="15.75" customHeight="1" x14ac:dyDescent="0.2">
      <c r="E55" s="4">
        <f t="shared" si="2"/>
        <v>-48</v>
      </c>
      <c r="F55" s="27">
        <f t="shared" si="0"/>
        <v>75.316800000000001</v>
      </c>
      <c r="G55" s="28">
        <f t="shared" si="1"/>
        <v>-1.4484000000000001</v>
      </c>
    </row>
    <row r="56" spans="5:7" ht="15.75" customHeight="1" x14ac:dyDescent="0.2">
      <c r="E56" s="4">
        <f t="shared" si="2"/>
        <v>-47</v>
      </c>
      <c r="F56" s="27">
        <f t="shared" si="0"/>
        <v>76.765200000000007</v>
      </c>
      <c r="G56" s="28">
        <f t="shared" si="1"/>
        <v>-1.4484000000000001</v>
      </c>
    </row>
    <row r="57" spans="5:7" ht="15.75" customHeight="1" x14ac:dyDescent="0.2">
      <c r="E57" s="4">
        <f t="shared" si="2"/>
        <v>-46</v>
      </c>
      <c r="F57" s="27">
        <f t="shared" si="0"/>
        <v>78.2136</v>
      </c>
      <c r="G57" s="28">
        <f t="shared" si="1"/>
        <v>-1.4484000000000001</v>
      </c>
    </row>
    <row r="58" spans="5:7" ht="15.75" customHeight="1" x14ac:dyDescent="0.2">
      <c r="E58" s="4">
        <f t="shared" si="2"/>
        <v>-45</v>
      </c>
      <c r="F58" s="27">
        <f t="shared" si="0"/>
        <v>79.662000000000006</v>
      </c>
      <c r="G58" s="28">
        <f t="shared" si="1"/>
        <v>-1.4484000000000001</v>
      </c>
    </row>
    <row r="59" spans="5:7" ht="15.75" customHeight="1" x14ac:dyDescent="0.2">
      <c r="E59" s="4">
        <f t="shared" si="2"/>
        <v>-44</v>
      </c>
      <c r="F59" s="27">
        <f t="shared" si="0"/>
        <v>81.110399999999998</v>
      </c>
      <c r="G59" s="28">
        <f t="shared" si="1"/>
        <v>-1.4484000000000001</v>
      </c>
    </row>
    <row r="60" spans="5:7" ht="15.75" customHeight="1" x14ac:dyDescent="0.2">
      <c r="E60" s="4">
        <f t="shared" si="2"/>
        <v>-43</v>
      </c>
      <c r="F60" s="27">
        <f t="shared" si="0"/>
        <v>82.558800000000005</v>
      </c>
      <c r="G60" s="28">
        <f t="shared" si="1"/>
        <v>-1.4484000000000001</v>
      </c>
    </row>
    <row r="61" spans="5:7" ht="15.75" customHeight="1" x14ac:dyDescent="0.2">
      <c r="E61" s="4">
        <f t="shared" si="2"/>
        <v>-42</v>
      </c>
      <c r="F61" s="27">
        <f t="shared" si="0"/>
        <v>84.007200000000012</v>
      </c>
      <c r="G61" s="28">
        <f t="shared" si="1"/>
        <v>-1.4484000000000001</v>
      </c>
    </row>
    <row r="62" spans="5:7" ht="15.75" customHeight="1" x14ac:dyDescent="0.2">
      <c r="E62" s="4">
        <f t="shared" si="2"/>
        <v>-41</v>
      </c>
      <c r="F62" s="27">
        <f t="shared" si="0"/>
        <v>85.455600000000004</v>
      </c>
      <c r="G62" s="28">
        <f t="shared" si="1"/>
        <v>-1.4484000000000001</v>
      </c>
    </row>
    <row r="63" spans="5:7" ht="15.75" customHeight="1" x14ac:dyDescent="0.2">
      <c r="E63" s="4">
        <f t="shared" si="2"/>
        <v>-40</v>
      </c>
      <c r="F63" s="27">
        <f t="shared" si="0"/>
        <v>86.903999999999996</v>
      </c>
      <c r="G63" s="28">
        <f t="shared" si="1"/>
        <v>-1.4484000000000001</v>
      </c>
    </row>
    <row r="64" spans="5:7" ht="15.75" customHeight="1" x14ac:dyDescent="0.2">
      <c r="E64" s="4">
        <f t="shared" si="2"/>
        <v>-39</v>
      </c>
      <c r="F64" s="27">
        <f t="shared" si="0"/>
        <v>88.352400000000003</v>
      </c>
      <c r="G64" s="28">
        <f t="shared" si="1"/>
        <v>-1.4484000000000001</v>
      </c>
    </row>
    <row r="65" spans="5:7" ht="15.75" customHeight="1" x14ac:dyDescent="0.2">
      <c r="E65" s="4">
        <f t="shared" si="2"/>
        <v>-38</v>
      </c>
      <c r="F65" s="27">
        <f t="shared" si="0"/>
        <v>89.80080000000001</v>
      </c>
      <c r="G65" s="28">
        <f t="shared" si="1"/>
        <v>-1.4484000000000001</v>
      </c>
    </row>
    <row r="66" spans="5:7" ht="15.75" customHeight="1" x14ac:dyDescent="0.2">
      <c r="E66" s="4">
        <f t="shared" si="2"/>
        <v>-37</v>
      </c>
      <c r="F66" s="27">
        <f t="shared" si="0"/>
        <v>91.249200000000002</v>
      </c>
      <c r="G66" s="28">
        <f t="shared" si="1"/>
        <v>-1.4484000000000001</v>
      </c>
    </row>
    <row r="67" spans="5:7" ht="15.75" customHeight="1" x14ac:dyDescent="0.2">
      <c r="E67" s="4">
        <f t="shared" si="2"/>
        <v>-36</v>
      </c>
      <c r="F67" s="27">
        <f t="shared" ref="F67:F130" si="3">Stock+(E67/100)*Stock</f>
        <v>92.697599999999994</v>
      </c>
      <c r="G67" s="28">
        <f t="shared" ref="G67:G130" si="4">IF(bs_option_type="Call",IF(((F67-Stock-1%*Stock))&lt;-1%*Stock,-1%*Stock,(F67-Stock-1%*Stock)*1),IF((Exercise-1%*Stock)-F67&lt;-1%*Stock,-1%*Stock,(Exercise-1%*Stock)-F67))</f>
        <v>-1.4484000000000001</v>
      </c>
    </row>
    <row r="68" spans="5:7" ht="15.75" customHeight="1" x14ac:dyDescent="0.2">
      <c r="E68" s="4">
        <f t="shared" si="2"/>
        <v>-35</v>
      </c>
      <c r="F68" s="27">
        <f t="shared" si="3"/>
        <v>94.146000000000015</v>
      </c>
      <c r="G68" s="28">
        <f t="shared" si="4"/>
        <v>-1.4484000000000001</v>
      </c>
    </row>
    <row r="69" spans="5:7" ht="15.75" customHeight="1" x14ac:dyDescent="0.2">
      <c r="E69" s="4">
        <f t="shared" si="2"/>
        <v>-34</v>
      </c>
      <c r="F69" s="27">
        <f t="shared" si="3"/>
        <v>95.594400000000007</v>
      </c>
      <c r="G69" s="28">
        <f t="shared" si="4"/>
        <v>-1.4484000000000001</v>
      </c>
    </row>
    <row r="70" spans="5:7" ht="15.75" customHeight="1" x14ac:dyDescent="0.2">
      <c r="E70" s="4">
        <f t="shared" si="2"/>
        <v>-33</v>
      </c>
      <c r="F70" s="27">
        <f t="shared" si="3"/>
        <v>97.0428</v>
      </c>
      <c r="G70" s="28">
        <f t="shared" si="4"/>
        <v>-1.4484000000000001</v>
      </c>
    </row>
    <row r="71" spans="5:7" ht="15.75" customHeight="1" x14ac:dyDescent="0.2">
      <c r="E71" s="4">
        <f t="shared" si="2"/>
        <v>-32</v>
      </c>
      <c r="F71" s="27">
        <f t="shared" si="3"/>
        <v>98.491199999999992</v>
      </c>
      <c r="G71" s="28">
        <f t="shared" si="4"/>
        <v>-1.4484000000000001</v>
      </c>
    </row>
    <row r="72" spans="5:7" ht="15.75" customHeight="1" x14ac:dyDescent="0.2">
      <c r="E72" s="4">
        <f t="shared" si="2"/>
        <v>-31</v>
      </c>
      <c r="F72" s="27">
        <f t="shared" si="3"/>
        <v>99.939600000000013</v>
      </c>
      <c r="G72" s="28">
        <f t="shared" si="4"/>
        <v>-1.4484000000000001</v>
      </c>
    </row>
    <row r="73" spans="5:7" ht="15.75" customHeight="1" x14ac:dyDescent="0.2">
      <c r="E73" s="4">
        <f t="shared" si="2"/>
        <v>-30</v>
      </c>
      <c r="F73" s="27">
        <f t="shared" si="3"/>
        <v>101.38800000000001</v>
      </c>
      <c r="G73" s="28">
        <f t="shared" si="4"/>
        <v>-1.4484000000000001</v>
      </c>
    </row>
    <row r="74" spans="5:7" ht="15.75" customHeight="1" x14ac:dyDescent="0.2">
      <c r="E74" s="4">
        <f t="shared" si="2"/>
        <v>-29</v>
      </c>
      <c r="F74" s="27">
        <f t="shared" si="3"/>
        <v>102.8364</v>
      </c>
      <c r="G74" s="28">
        <f t="shared" si="4"/>
        <v>-1.4484000000000001</v>
      </c>
    </row>
    <row r="75" spans="5:7" ht="15.75" customHeight="1" x14ac:dyDescent="0.2">
      <c r="E75" s="4">
        <f t="shared" si="2"/>
        <v>-28</v>
      </c>
      <c r="F75" s="27">
        <f t="shared" si="3"/>
        <v>104.28479999999999</v>
      </c>
      <c r="G75" s="28">
        <f t="shared" si="4"/>
        <v>-1.4484000000000001</v>
      </c>
    </row>
    <row r="76" spans="5:7" ht="15.75" customHeight="1" x14ac:dyDescent="0.2">
      <c r="E76" s="4">
        <f t="shared" si="2"/>
        <v>-27</v>
      </c>
      <c r="F76" s="27">
        <f t="shared" si="3"/>
        <v>105.7332</v>
      </c>
      <c r="G76" s="28">
        <f t="shared" si="4"/>
        <v>-1.4484000000000001</v>
      </c>
    </row>
    <row r="77" spans="5:7" ht="15.75" customHeight="1" x14ac:dyDescent="0.2">
      <c r="E77" s="4">
        <f t="shared" si="2"/>
        <v>-26</v>
      </c>
      <c r="F77" s="27">
        <f t="shared" si="3"/>
        <v>107.1816</v>
      </c>
      <c r="G77" s="28">
        <f t="shared" si="4"/>
        <v>-1.4484000000000001</v>
      </c>
    </row>
    <row r="78" spans="5:7" ht="15.75" customHeight="1" x14ac:dyDescent="0.2">
      <c r="E78" s="4">
        <f t="shared" si="2"/>
        <v>-25</v>
      </c>
      <c r="F78" s="27">
        <f t="shared" si="3"/>
        <v>108.63</v>
      </c>
      <c r="G78" s="28">
        <f t="shared" si="4"/>
        <v>-1.4484000000000001</v>
      </c>
    </row>
    <row r="79" spans="5:7" ht="15.75" customHeight="1" x14ac:dyDescent="0.2">
      <c r="E79" s="4">
        <f t="shared" si="2"/>
        <v>-24</v>
      </c>
      <c r="F79" s="27">
        <f t="shared" si="3"/>
        <v>110.0784</v>
      </c>
      <c r="G79" s="28">
        <f t="shared" si="4"/>
        <v>-1.4484000000000001</v>
      </c>
    </row>
    <row r="80" spans="5:7" ht="15.75" customHeight="1" x14ac:dyDescent="0.2">
      <c r="E80" s="4">
        <f t="shared" si="2"/>
        <v>-23</v>
      </c>
      <c r="F80" s="27">
        <f t="shared" si="3"/>
        <v>111.52680000000001</v>
      </c>
      <c r="G80" s="28">
        <f t="shared" si="4"/>
        <v>-1.4484000000000001</v>
      </c>
    </row>
    <row r="81" spans="5:7" ht="15.75" customHeight="1" x14ac:dyDescent="0.2">
      <c r="E81" s="4">
        <f t="shared" si="2"/>
        <v>-22</v>
      </c>
      <c r="F81" s="27">
        <f t="shared" si="3"/>
        <v>112.9752</v>
      </c>
      <c r="G81" s="28">
        <f t="shared" si="4"/>
        <v>-1.4484000000000001</v>
      </c>
    </row>
    <row r="82" spans="5:7" ht="15.75" customHeight="1" x14ac:dyDescent="0.2">
      <c r="E82" s="4">
        <f t="shared" si="2"/>
        <v>-21</v>
      </c>
      <c r="F82" s="27">
        <f t="shared" si="3"/>
        <v>114.42360000000001</v>
      </c>
      <c r="G82" s="28">
        <f t="shared" si="4"/>
        <v>-1.4484000000000001</v>
      </c>
    </row>
    <row r="83" spans="5:7" ht="15.75" customHeight="1" x14ac:dyDescent="0.2">
      <c r="E83" s="4">
        <f t="shared" si="2"/>
        <v>-20</v>
      </c>
      <c r="F83" s="27">
        <f t="shared" si="3"/>
        <v>115.872</v>
      </c>
      <c r="G83" s="28">
        <f t="shared" si="4"/>
        <v>-1.4484000000000001</v>
      </c>
    </row>
    <row r="84" spans="5:7" ht="15.75" customHeight="1" x14ac:dyDescent="0.2">
      <c r="E84" s="4">
        <f t="shared" si="2"/>
        <v>-19</v>
      </c>
      <c r="F84" s="27">
        <f t="shared" si="3"/>
        <v>117.32040000000001</v>
      </c>
      <c r="G84" s="28">
        <f t="shared" si="4"/>
        <v>-1.4484000000000001</v>
      </c>
    </row>
    <row r="85" spans="5:7" ht="15.75" customHeight="1" x14ac:dyDescent="0.2">
      <c r="E85" s="4">
        <f t="shared" si="2"/>
        <v>-18</v>
      </c>
      <c r="F85" s="27">
        <f t="shared" si="3"/>
        <v>118.7688</v>
      </c>
      <c r="G85" s="28">
        <f t="shared" si="4"/>
        <v>-1.4484000000000001</v>
      </c>
    </row>
    <row r="86" spans="5:7" ht="15.75" customHeight="1" x14ac:dyDescent="0.2">
      <c r="E86" s="4">
        <f t="shared" si="2"/>
        <v>-17</v>
      </c>
      <c r="F86" s="27">
        <f t="shared" si="3"/>
        <v>120.21720000000001</v>
      </c>
      <c r="G86" s="28">
        <f t="shared" si="4"/>
        <v>-1.4484000000000001</v>
      </c>
    </row>
    <row r="87" spans="5:7" ht="15.75" customHeight="1" x14ac:dyDescent="0.2">
      <c r="E87" s="4">
        <f t="shared" si="2"/>
        <v>-16</v>
      </c>
      <c r="F87" s="27">
        <f t="shared" si="3"/>
        <v>121.6656</v>
      </c>
      <c r="G87" s="28">
        <f t="shared" si="4"/>
        <v>-1.4484000000000001</v>
      </c>
    </row>
    <row r="88" spans="5:7" ht="15.75" customHeight="1" x14ac:dyDescent="0.2">
      <c r="E88" s="4">
        <f t="shared" si="2"/>
        <v>-15</v>
      </c>
      <c r="F88" s="27">
        <f t="shared" si="3"/>
        <v>123.114</v>
      </c>
      <c r="G88" s="28">
        <f t="shared" si="4"/>
        <v>-1.4484000000000001</v>
      </c>
    </row>
    <row r="89" spans="5:7" ht="15.75" customHeight="1" x14ac:dyDescent="0.2">
      <c r="E89" s="4">
        <f t="shared" si="2"/>
        <v>-14</v>
      </c>
      <c r="F89" s="27">
        <f t="shared" si="3"/>
        <v>124.5624</v>
      </c>
      <c r="G89" s="28">
        <f t="shared" si="4"/>
        <v>-1.4484000000000001</v>
      </c>
    </row>
    <row r="90" spans="5:7" ht="15.75" customHeight="1" x14ac:dyDescent="0.2">
      <c r="E90" s="4">
        <f t="shared" si="2"/>
        <v>-13</v>
      </c>
      <c r="F90" s="27">
        <f t="shared" si="3"/>
        <v>126.0108</v>
      </c>
      <c r="G90" s="28">
        <f t="shared" si="4"/>
        <v>-1.4484000000000001</v>
      </c>
    </row>
    <row r="91" spans="5:7" ht="15.75" customHeight="1" x14ac:dyDescent="0.2">
      <c r="E91" s="4">
        <f t="shared" si="2"/>
        <v>-12</v>
      </c>
      <c r="F91" s="27">
        <f t="shared" si="3"/>
        <v>127.45920000000001</v>
      </c>
      <c r="G91" s="28">
        <f t="shared" si="4"/>
        <v>-1.4484000000000001</v>
      </c>
    </row>
    <row r="92" spans="5:7" ht="15.75" customHeight="1" x14ac:dyDescent="0.2">
      <c r="E92" s="4">
        <f t="shared" si="2"/>
        <v>-11</v>
      </c>
      <c r="F92" s="27">
        <f t="shared" si="3"/>
        <v>128.9076</v>
      </c>
      <c r="G92" s="28">
        <f t="shared" si="4"/>
        <v>-1.4484000000000001</v>
      </c>
    </row>
    <row r="93" spans="5:7" ht="15.75" customHeight="1" x14ac:dyDescent="0.2">
      <c r="E93" s="4">
        <f t="shared" si="2"/>
        <v>-10</v>
      </c>
      <c r="F93" s="27">
        <f t="shared" si="3"/>
        <v>130.35599999999999</v>
      </c>
      <c r="G93" s="28">
        <f t="shared" si="4"/>
        <v>-1.4484000000000001</v>
      </c>
    </row>
    <row r="94" spans="5:7" ht="15.75" customHeight="1" x14ac:dyDescent="0.2">
      <c r="E94" s="4">
        <f t="shared" si="2"/>
        <v>-9</v>
      </c>
      <c r="F94" s="27">
        <f t="shared" si="3"/>
        <v>131.80440000000002</v>
      </c>
      <c r="G94" s="28">
        <f t="shared" si="4"/>
        <v>-1.4484000000000001</v>
      </c>
    </row>
    <row r="95" spans="5:7" ht="15.75" customHeight="1" x14ac:dyDescent="0.2">
      <c r="E95" s="4">
        <f t="shared" si="2"/>
        <v>-8</v>
      </c>
      <c r="F95" s="27">
        <f t="shared" si="3"/>
        <v>133.25280000000001</v>
      </c>
      <c r="G95" s="28">
        <f t="shared" si="4"/>
        <v>-1.4484000000000001</v>
      </c>
    </row>
    <row r="96" spans="5:7" ht="15.75" customHeight="1" x14ac:dyDescent="0.2">
      <c r="E96" s="4">
        <f t="shared" si="2"/>
        <v>-7</v>
      </c>
      <c r="F96" s="27">
        <f t="shared" si="3"/>
        <v>134.7012</v>
      </c>
      <c r="G96" s="28">
        <f t="shared" si="4"/>
        <v>-1.4484000000000001</v>
      </c>
    </row>
    <row r="97" spans="5:7" ht="15.75" customHeight="1" x14ac:dyDescent="0.2">
      <c r="E97" s="4">
        <f t="shared" si="2"/>
        <v>-6</v>
      </c>
      <c r="F97" s="27">
        <f t="shared" si="3"/>
        <v>136.14959999999999</v>
      </c>
      <c r="G97" s="28">
        <f t="shared" si="4"/>
        <v>-1.4484000000000001</v>
      </c>
    </row>
    <row r="98" spans="5:7" ht="15.75" customHeight="1" x14ac:dyDescent="0.2">
      <c r="E98" s="4">
        <f t="shared" si="2"/>
        <v>-5</v>
      </c>
      <c r="F98" s="27">
        <f t="shared" si="3"/>
        <v>137.59800000000001</v>
      </c>
      <c r="G98" s="28">
        <f t="shared" si="4"/>
        <v>-1.4484000000000001</v>
      </c>
    </row>
    <row r="99" spans="5:7" ht="15.75" customHeight="1" x14ac:dyDescent="0.2">
      <c r="E99" s="4">
        <f t="shared" si="2"/>
        <v>-4</v>
      </c>
      <c r="F99" s="27">
        <f t="shared" si="3"/>
        <v>139.04640000000001</v>
      </c>
      <c r="G99" s="28">
        <f t="shared" si="4"/>
        <v>-1.4484000000000001</v>
      </c>
    </row>
    <row r="100" spans="5:7" ht="15.75" customHeight="1" x14ac:dyDescent="0.2">
      <c r="E100" s="4">
        <f t="shared" si="2"/>
        <v>-3</v>
      </c>
      <c r="F100" s="27">
        <f t="shared" si="3"/>
        <v>140.4948</v>
      </c>
      <c r="G100" s="28">
        <f t="shared" si="4"/>
        <v>-1.4484000000000001</v>
      </c>
    </row>
    <row r="101" spans="5:7" ht="15.75" customHeight="1" x14ac:dyDescent="0.2">
      <c r="E101" s="4">
        <f t="shared" si="2"/>
        <v>-2</v>
      </c>
      <c r="F101" s="27">
        <f t="shared" si="3"/>
        <v>141.94319999999999</v>
      </c>
      <c r="G101" s="28">
        <f t="shared" si="4"/>
        <v>-1.4484000000000001</v>
      </c>
    </row>
    <row r="102" spans="5:7" ht="15.75" customHeight="1" x14ac:dyDescent="0.2">
      <c r="E102" s="4">
        <f t="shared" si="2"/>
        <v>-1</v>
      </c>
      <c r="F102" s="27">
        <f t="shared" si="3"/>
        <v>143.39160000000001</v>
      </c>
      <c r="G102" s="28">
        <f t="shared" si="4"/>
        <v>-1.4484000000000001</v>
      </c>
    </row>
    <row r="103" spans="5:7" ht="15.75" customHeight="1" x14ac:dyDescent="0.2">
      <c r="E103" s="4">
        <f t="shared" si="2"/>
        <v>0</v>
      </c>
      <c r="F103" s="27">
        <f t="shared" si="3"/>
        <v>144.84</v>
      </c>
      <c r="G103" s="28">
        <f t="shared" si="4"/>
        <v>-1.4484000000000001</v>
      </c>
    </row>
    <row r="104" spans="5:7" ht="15.75" customHeight="1" x14ac:dyDescent="0.2">
      <c r="E104" s="4">
        <f t="shared" si="2"/>
        <v>1</v>
      </c>
      <c r="F104" s="27">
        <f t="shared" si="3"/>
        <v>146.2884</v>
      </c>
      <c r="G104" s="28">
        <f t="shared" si="4"/>
        <v>-7.7715611723760958E-15</v>
      </c>
    </row>
    <row r="105" spans="5:7" ht="15.75" customHeight="1" x14ac:dyDescent="0.2">
      <c r="E105" s="4">
        <f t="shared" si="2"/>
        <v>2</v>
      </c>
      <c r="F105" s="27">
        <f t="shared" si="3"/>
        <v>147.73680000000002</v>
      </c>
      <c r="G105" s="28">
        <f t="shared" si="4"/>
        <v>1.448400000000013</v>
      </c>
    </row>
    <row r="106" spans="5:7" ht="15.75" customHeight="1" x14ac:dyDescent="0.2">
      <c r="E106" s="4">
        <f t="shared" si="2"/>
        <v>3</v>
      </c>
      <c r="F106" s="27">
        <f t="shared" si="3"/>
        <v>149.18520000000001</v>
      </c>
      <c r="G106" s="28">
        <f t="shared" si="4"/>
        <v>2.8968000000000051</v>
      </c>
    </row>
    <row r="107" spans="5:7" ht="15.75" customHeight="1" x14ac:dyDescent="0.2">
      <c r="E107" s="4">
        <f t="shared" si="2"/>
        <v>4</v>
      </c>
      <c r="F107" s="27">
        <f t="shared" si="3"/>
        <v>150.6336</v>
      </c>
      <c r="G107" s="28">
        <f t="shared" si="4"/>
        <v>4.3451999999999975</v>
      </c>
    </row>
    <row r="108" spans="5:7" ht="15.75" customHeight="1" x14ac:dyDescent="0.2">
      <c r="E108" s="4">
        <f t="shared" si="2"/>
        <v>5</v>
      </c>
      <c r="F108" s="27">
        <f t="shared" si="3"/>
        <v>152.08199999999999</v>
      </c>
      <c r="G108" s="28">
        <f t="shared" si="4"/>
        <v>5.7935999999999899</v>
      </c>
    </row>
    <row r="109" spans="5:7" ht="15.75" customHeight="1" x14ac:dyDescent="0.2">
      <c r="E109" s="4">
        <f t="shared" si="2"/>
        <v>6</v>
      </c>
      <c r="F109" s="27">
        <f t="shared" si="3"/>
        <v>153.53040000000001</v>
      </c>
      <c r="G109" s="4">
        <f t="shared" si="4"/>
        <v>7.2420000000000107</v>
      </c>
    </row>
    <row r="110" spans="5:7" ht="15.75" customHeight="1" x14ac:dyDescent="0.2">
      <c r="E110" s="4">
        <f t="shared" si="2"/>
        <v>7</v>
      </c>
      <c r="F110" s="27">
        <f t="shared" si="3"/>
        <v>154.97880000000001</v>
      </c>
      <c r="G110" s="4">
        <f t="shared" si="4"/>
        <v>8.6904000000000039</v>
      </c>
    </row>
    <row r="111" spans="5:7" ht="15.75" customHeight="1" x14ac:dyDescent="0.2">
      <c r="E111" s="4">
        <f t="shared" si="2"/>
        <v>8</v>
      </c>
      <c r="F111" s="27">
        <f t="shared" si="3"/>
        <v>156.4272</v>
      </c>
      <c r="G111" s="4">
        <f t="shared" si="4"/>
        <v>10.138799999999996</v>
      </c>
    </row>
    <row r="112" spans="5:7" ht="15.75" customHeight="1" x14ac:dyDescent="0.2">
      <c r="E112" s="4">
        <f t="shared" si="2"/>
        <v>9</v>
      </c>
      <c r="F112" s="27">
        <f t="shared" si="3"/>
        <v>157.87559999999999</v>
      </c>
      <c r="G112" s="4">
        <f t="shared" si="4"/>
        <v>11.587199999999989</v>
      </c>
    </row>
    <row r="113" spans="5:7" ht="15.75" customHeight="1" x14ac:dyDescent="0.2">
      <c r="E113" s="4">
        <f t="shared" si="2"/>
        <v>10</v>
      </c>
      <c r="F113" s="27">
        <f t="shared" si="3"/>
        <v>159.32400000000001</v>
      </c>
      <c r="G113" s="4">
        <f t="shared" si="4"/>
        <v>13.035600000000009</v>
      </c>
    </row>
    <row r="114" spans="5:7" ht="15.75" customHeight="1" x14ac:dyDescent="0.2">
      <c r="E114" s="4">
        <f t="shared" si="2"/>
        <v>11</v>
      </c>
      <c r="F114" s="27">
        <f t="shared" si="3"/>
        <v>160.7724</v>
      </c>
      <c r="G114" s="4">
        <f t="shared" si="4"/>
        <v>14.484000000000002</v>
      </c>
    </row>
    <row r="115" spans="5:7" ht="15.75" customHeight="1" x14ac:dyDescent="0.2">
      <c r="E115" s="4">
        <f t="shared" si="2"/>
        <v>12</v>
      </c>
      <c r="F115" s="27">
        <f t="shared" si="3"/>
        <v>162.2208</v>
      </c>
      <c r="G115" s="4">
        <f t="shared" si="4"/>
        <v>15.932399999999994</v>
      </c>
    </row>
    <row r="116" spans="5:7" ht="15.75" customHeight="1" x14ac:dyDescent="0.2">
      <c r="E116" s="4">
        <f t="shared" si="2"/>
        <v>13</v>
      </c>
      <c r="F116" s="27">
        <f t="shared" si="3"/>
        <v>163.66919999999999</v>
      </c>
      <c r="G116" s="4">
        <f t="shared" si="4"/>
        <v>17.380799999999986</v>
      </c>
    </row>
    <row r="117" spans="5:7" ht="15.75" customHeight="1" x14ac:dyDescent="0.2">
      <c r="E117" s="4">
        <f t="shared" si="2"/>
        <v>14</v>
      </c>
      <c r="F117" s="27">
        <f t="shared" si="3"/>
        <v>165.11760000000001</v>
      </c>
      <c r="G117" s="4">
        <f t="shared" si="4"/>
        <v>18.829200000000007</v>
      </c>
    </row>
    <row r="118" spans="5:7" ht="15.75" customHeight="1" x14ac:dyDescent="0.2">
      <c r="E118" s="4">
        <f t="shared" si="2"/>
        <v>15</v>
      </c>
      <c r="F118" s="27">
        <f t="shared" si="3"/>
        <v>166.566</v>
      </c>
      <c r="G118" s="4">
        <f t="shared" si="4"/>
        <v>20.2776</v>
      </c>
    </row>
    <row r="119" spans="5:7" ht="15.75" customHeight="1" x14ac:dyDescent="0.2">
      <c r="E119" s="4">
        <f t="shared" si="2"/>
        <v>16</v>
      </c>
      <c r="F119" s="27">
        <f t="shared" si="3"/>
        <v>168.01439999999999</v>
      </c>
      <c r="G119" s="4">
        <f t="shared" si="4"/>
        <v>21.725999999999992</v>
      </c>
    </row>
    <row r="120" spans="5:7" ht="15.75" customHeight="1" x14ac:dyDescent="0.2">
      <c r="E120" s="4">
        <f t="shared" si="2"/>
        <v>17</v>
      </c>
      <c r="F120" s="27">
        <f t="shared" si="3"/>
        <v>169.46280000000002</v>
      </c>
      <c r="G120" s="4">
        <f t="shared" si="4"/>
        <v>23.174400000000013</v>
      </c>
    </row>
    <row r="121" spans="5:7" ht="15.75" customHeight="1" x14ac:dyDescent="0.2">
      <c r="E121" s="4">
        <f t="shared" si="2"/>
        <v>18</v>
      </c>
      <c r="F121" s="27">
        <f t="shared" si="3"/>
        <v>170.91120000000001</v>
      </c>
      <c r="G121" s="4">
        <f t="shared" si="4"/>
        <v>24.622800000000005</v>
      </c>
    </row>
    <row r="122" spans="5:7" ht="15.75" customHeight="1" x14ac:dyDescent="0.2">
      <c r="E122" s="4">
        <f t="shared" si="2"/>
        <v>19</v>
      </c>
      <c r="F122" s="27">
        <f t="shared" si="3"/>
        <v>172.3596</v>
      </c>
      <c r="G122" s="4">
        <f t="shared" si="4"/>
        <v>26.071199999999997</v>
      </c>
    </row>
    <row r="123" spans="5:7" ht="15.75" customHeight="1" x14ac:dyDescent="0.2">
      <c r="E123" s="4">
        <f t="shared" si="2"/>
        <v>20</v>
      </c>
      <c r="F123" s="27">
        <f t="shared" si="3"/>
        <v>173.80799999999999</v>
      </c>
      <c r="G123" s="4">
        <f t="shared" si="4"/>
        <v>27.51959999999999</v>
      </c>
    </row>
    <row r="124" spans="5:7" ht="15.75" customHeight="1" x14ac:dyDescent="0.2">
      <c r="E124" s="4">
        <f t="shared" si="2"/>
        <v>21</v>
      </c>
      <c r="F124" s="27">
        <f t="shared" si="3"/>
        <v>175.25640000000001</v>
      </c>
      <c r="G124" s="4">
        <f t="shared" si="4"/>
        <v>28.968000000000011</v>
      </c>
    </row>
    <row r="125" spans="5:7" ht="15.75" customHeight="1" x14ac:dyDescent="0.2">
      <c r="E125" s="4">
        <f t="shared" si="2"/>
        <v>22</v>
      </c>
      <c r="F125" s="27">
        <f t="shared" si="3"/>
        <v>176.70480000000001</v>
      </c>
      <c r="G125" s="4">
        <f t="shared" si="4"/>
        <v>30.416400000000003</v>
      </c>
    </row>
    <row r="126" spans="5:7" ht="15.75" customHeight="1" x14ac:dyDescent="0.2">
      <c r="E126" s="4">
        <f t="shared" si="2"/>
        <v>23</v>
      </c>
      <c r="F126" s="27">
        <f t="shared" si="3"/>
        <v>178.1532</v>
      </c>
      <c r="G126" s="4">
        <f t="shared" si="4"/>
        <v>31.864799999999995</v>
      </c>
    </row>
    <row r="127" spans="5:7" ht="15.75" customHeight="1" x14ac:dyDescent="0.2">
      <c r="E127" s="4">
        <f t="shared" si="2"/>
        <v>24</v>
      </c>
      <c r="F127" s="27">
        <f t="shared" si="3"/>
        <v>179.60160000000002</v>
      </c>
      <c r="G127" s="4">
        <f t="shared" si="4"/>
        <v>33.313200000000016</v>
      </c>
    </row>
    <row r="128" spans="5:7" ht="15.75" customHeight="1" x14ac:dyDescent="0.2">
      <c r="E128" s="4">
        <f t="shared" si="2"/>
        <v>25</v>
      </c>
      <c r="F128" s="27">
        <f t="shared" si="3"/>
        <v>181.05</v>
      </c>
      <c r="G128" s="4">
        <f t="shared" si="4"/>
        <v>34.761600000000008</v>
      </c>
    </row>
    <row r="129" spans="5:7" ht="15.75" customHeight="1" x14ac:dyDescent="0.2">
      <c r="E129" s="4">
        <f t="shared" si="2"/>
        <v>26</v>
      </c>
      <c r="F129" s="27">
        <f t="shared" si="3"/>
        <v>182.4984</v>
      </c>
      <c r="G129" s="4">
        <f t="shared" si="4"/>
        <v>36.21</v>
      </c>
    </row>
    <row r="130" spans="5:7" ht="15.75" customHeight="1" x14ac:dyDescent="0.2">
      <c r="E130" s="4">
        <f t="shared" si="2"/>
        <v>27</v>
      </c>
      <c r="F130" s="27">
        <f t="shared" si="3"/>
        <v>183.9468</v>
      </c>
      <c r="G130" s="4">
        <f t="shared" si="4"/>
        <v>37.658399999999993</v>
      </c>
    </row>
    <row r="131" spans="5:7" ht="15.75" customHeight="1" x14ac:dyDescent="0.2">
      <c r="E131" s="4">
        <f t="shared" si="2"/>
        <v>28</v>
      </c>
      <c r="F131" s="27">
        <f t="shared" ref="F131:F194" si="5">Stock+(E131/100)*Stock</f>
        <v>185.39520000000002</v>
      </c>
      <c r="G131" s="4">
        <f t="shared" ref="G131:G194" si="6">IF(bs_option_type="Call",IF(((F131-Stock-1%*Stock))&lt;-1%*Stock,-1%*Stock,(F131-Stock-1%*Stock)*1),IF((Exercise-1%*Stock)-F131&lt;-1%*Stock,-1%*Stock,(Exercise-1%*Stock)-F131))</f>
        <v>39.106800000000014</v>
      </c>
    </row>
    <row r="132" spans="5:7" ht="15.75" customHeight="1" x14ac:dyDescent="0.2">
      <c r="E132" s="4">
        <f t="shared" si="2"/>
        <v>29</v>
      </c>
      <c r="F132" s="27">
        <f t="shared" si="5"/>
        <v>186.84360000000001</v>
      </c>
      <c r="G132" s="4">
        <f t="shared" si="6"/>
        <v>40.555200000000006</v>
      </c>
    </row>
    <row r="133" spans="5:7" ht="15.75" customHeight="1" x14ac:dyDescent="0.2">
      <c r="E133" s="4">
        <f t="shared" si="2"/>
        <v>30</v>
      </c>
      <c r="F133" s="27">
        <f t="shared" si="5"/>
        <v>188.292</v>
      </c>
      <c r="G133" s="4">
        <f t="shared" si="6"/>
        <v>42.003599999999999</v>
      </c>
    </row>
    <row r="134" spans="5:7" ht="15.75" customHeight="1" x14ac:dyDescent="0.2">
      <c r="E134" s="4">
        <f t="shared" si="2"/>
        <v>31</v>
      </c>
      <c r="F134" s="27">
        <f t="shared" si="5"/>
        <v>189.74039999999999</v>
      </c>
      <c r="G134" s="4">
        <f t="shared" si="6"/>
        <v>43.451999999999991</v>
      </c>
    </row>
    <row r="135" spans="5:7" ht="15.75" customHeight="1" x14ac:dyDescent="0.2">
      <c r="E135" s="4">
        <f t="shared" si="2"/>
        <v>32</v>
      </c>
      <c r="F135" s="27">
        <f t="shared" si="5"/>
        <v>191.18880000000001</v>
      </c>
      <c r="G135" s="4">
        <f t="shared" si="6"/>
        <v>44.900400000000012</v>
      </c>
    </row>
    <row r="136" spans="5:7" ht="15.75" customHeight="1" x14ac:dyDescent="0.2">
      <c r="E136" s="4">
        <f t="shared" si="2"/>
        <v>33</v>
      </c>
      <c r="F136" s="27">
        <f t="shared" si="5"/>
        <v>192.63720000000001</v>
      </c>
      <c r="G136" s="4">
        <f t="shared" si="6"/>
        <v>46.348800000000004</v>
      </c>
    </row>
    <row r="137" spans="5:7" ht="15.75" customHeight="1" x14ac:dyDescent="0.2">
      <c r="E137" s="4">
        <f t="shared" si="2"/>
        <v>34</v>
      </c>
      <c r="F137" s="27">
        <f t="shared" si="5"/>
        <v>194.0856</v>
      </c>
      <c r="G137" s="4">
        <f t="shared" si="6"/>
        <v>47.797199999999997</v>
      </c>
    </row>
    <row r="138" spans="5:7" ht="15.75" customHeight="1" x14ac:dyDescent="0.2">
      <c r="E138" s="4">
        <f t="shared" si="2"/>
        <v>35</v>
      </c>
      <c r="F138" s="27">
        <f t="shared" si="5"/>
        <v>195.53399999999999</v>
      </c>
      <c r="G138" s="4">
        <f t="shared" si="6"/>
        <v>49.245599999999989</v>
      </c>
    </row>
    <row r="139" spans="5:7" ht="15.75" customHeight="1" x14ac:dyDescent="0.2">
      <c r="E139" s="4">
        <f t="shared" si="2"/>
        <v>36</v>
      </c>
      <c r="F139" s="27">
        <f t="shared" si="5"/>
        <v>196.98240000000001</v>
      </c>
      <c r="G139" s="4">
        <f t="shared" si="6"/>
        <v>50.69400000000001</v>
      </c>
    </row>
    <row r="140" spans="5:7" ht="15.75" customHeight="1" x14ac:dyDescent="0.2">
      <c r="E140" s="4">
        <f t="shared" si="2"/>
        <v>37</v>
      </c>
      <c r="F140" s="27">
        <f t="shared" si="5"/>
        <v>198.4308</v>
      </c>
      <c r="G140" s="4">
        <f t="shared" si="6"/>
        <v>52.142400000000002</v>
      </c>
    </row>
    <row r="141" spans="5:7" ht="15.75" customHeight="1" x14ac:dyDescent="0.2">
      <c r="E141" s="4">
        <f t="shared" si="2"/>
        <v>38</v>
      </c>
      <c r="F141" s="27">
        <f t="shared" si="5"/>
        <v>199.8792</v>
      </c>
      <c r="G141" s="4">
        <f t="shared" si="6"/>
        <v>53.590799999999994</v>
      </c>
    </row>
    <row r="142" spans="5:7" ht="15.75" customHeight="1" x14ac:dyDescent="0.2">
      <c r="E142" s="4">
        <f t="shared" si="2"/>
        <v>39</v>
      </c>
      <c r="F142" s="27">
        <f t="shared" si="5"/>
        <v>201.32760000000002</v>
      </c>
      <c r="G142" s="4">
        <f t="shared" si="6"/>
        <v>55.039200000000015</v>
      </c>
    </row>
    <row r="143" spans="5:7" ht="15.75" customHeight="1" x14ac:dyDescent="0.2">
      <c r="E143" s="4">
        <f t="shared" si="2"/>
        <v>40</v>
      </c>
      <c r="F143" s="27">
        <f t="shared" si="5"/>
        <v>202.77600000000001</v>
      </c>
      <c r="G143" s="4">
        <f t="shared" si="6"/>
        <v>56.487600000000008</v>
      </c>
    </row>
    <row r="144" spans="5:7" ht="15.75" customHeight="1" x14ac:dyDescent="0.2">
      <c r="E144" s="4">
        <f t="shared" si="2"/>
        <v>41</v>
      </c>
      <c r="F144" s="27">
        <f t="shared" si="5"/>
        <v>204.2244</v>
      </c>
      <c r="G144" s="4">
        <f t="shared" si="6"/>
        <v>57.936</v>
      </c>
    </row>
    <row r="145" spans="5:7" ht="15.75" customHeight="1" x14ac:dyDescent="0.2">
      <c r="E145" s="4">
        <f t="shared" si="2"/>
        <v>42</v>
      </c>
      <c r="F145" s="27">
        <f t="shared" si="5"/>
        <v>205.6728</v>
      </c>
      <c r="G145" s="4">
        <f t="shared" si="6"/>
        <v>59.384399999999992</v>
      </c>
    </row>
    <row r="146" spans="5:7" ht="15.75" customHeight="1" x14ac:dyDescent="0.2">
      <c r="E146" s="4">
        <f t="shared" si="2"/>
        <v>43</v>
      </c>
      <c r="F146" s="27">
        <f t="shared" si="5"/>
        <v>207.12119999999999</v>
      </c>
      <c r="G146" s="4">
        <f t="shared" si="6"/>
        <v>60.832799999999985</v>
      </c>
    </row>
    <row r="147" spans="5:7" ht="15.75" customHeight="1" x14ac:dyDescent="0.2">
      <c r="E147" s="4">
        <f t="shared" si="2"/>
        <v>44</v>
      </c>
      <c r="F147" s="27">
        <f t="shared" si="5"/>
        <v>208.56960000000001</v>
      </c>
      <c r="G147" s="4">
        <f t="shared" si="6"/>
        <v>62.281200000000005</v>
      </c>
    </row>
    <row r="148" spans="5:7" ht="15.75" customHeight="1" x14ac:dyDescent="0.2">
      <c r="E148" s="4">
        <f t="shared" si="2"/>
        <v>45</v>
      </c>
      <c r="F148" s="27">
        <f t="shared" si="5"/>
        <v>210.018</v>
      </c>
      <c r="G148" s="4">
        <f t="shared" si="6"/>
        <v>63.729599999999998</v>
      </c>
    </row>
    <row r="149" spans="5:7" ht="15.75" customHeight="1" x14ac:dyDescent="0.2">
      <c r="E149" s="4">
        <f t="shared" si="2"/>
        <v>46</v>
      </c>
      <c r="F149" s="27">
        <f t="shared" si="5"/>
        <v>211.46640000000002</v>
      </c>
      <c r="G149" s="4">
        <f t="shared" si="6"/>
        <v>65.178000000000011</v>
      </c>
    </row>
    <row r="150" spans="5:7" ht="15.75" customHeight="1" x14ac:dyDescent="0.2">
      <c r="E150" s="4">
        <f t="shared" si="2"/>
        <v>47</v>
      </c>
      <c r="F150" s="27">
        <f t="shared" si="5"/>
        <v>212.91480000000001</v>
      </c>
      <c r="G150" s="4">
        <f t="shared" si="6"/>
        <v>66.626400000000004</v>
      </c>
    </row>
    <row r="151" spans="5:7" ht="15.75" customHeight="1" x14ac:dyDescent="0.2">
      <c r="E151" s="4">
        <f t="shared" si="2"/>
        <v>48</v>
      </c>
      <c r="F151" s="27">
        <f t="shared" si="5"/>
        <v>214.36320000000001</v>
      </c>
      <c r="G151" s="4">
        <f t="shared" si="6"/>
        <v>68.074799999999996</v>
      </c>
    </row>
    <row r="152" spans="5:7" ht="15.75" customHeight="1" x14ac:dyDescent="0.2">
      <c r="E152" s="4">
        <f t="shared" si="2"/>
        <v>49</v>
      </c>
      <c r="F152" s="27">
        <f t="shared" si="5"/>
        <v>215.8116</v>
      </c>
      <c r="G152" s="4">
        <f t="shared" si="6"/>
        <v>69.523199999999989</v>
      </c>
    </row>
    <row r="153" spans="5:7" ht="15.75" customHeight="1" x14ac:dyDescent="0.2">
      <c r="E153" s="4">
        <f t="shared" si="2"/>
        <v>50</v>
      </c>
      <c r="F153" s="27">
        <f t="shared" si="5"/>
        <v>217.26</v>
      </c>
      <c r="G153" s="4">
        <f t="shared" si="6"/>
        <v>70.971599999999981</v>
      </c>
    </row>
    <row r="154" spans="5:7" ht="15.75" customHeight="1" x14ac:dyDescent="0.2">
      <c r="E154" s="4">
        <f t="shared" si="2"/>
        <v>51</v>
      </c>
      <c r="F154" s="27">
        <f t="shared" si="5"/>
        <v>218.70840000000001</v>
      </c>
      <c r="G154" s="4">
        <f t="shared" si="6"/>
        <v>72.42</v>
      </c>
    </row>
    <row r="155" spans="5:7" ht="15.75" customHeight="1" x14ac:dyDescent="0.2">
      <c r="E155" s="4">
        <f t="shared" si="2"/>
        <v>52</v>
      </c>
      <c r="F155" s="27">
        <f t="shared" si="5"/>
        <v>220.1568</v>
      </c>
      <c r="G155" s="4">
        <f t="shared" si="6"/>
        <v>73.868399999999994</v>
      </c>
    </row>
    <row r="156" spans="5:7" ht="15.75" customHeight="1" x14ac:dyDescent="0.2">
      <c r="E156" s="4">
        <f t="shared" si="2"/>
        <v>53</v>
      </c>
      <c r="F156" s="27">
        <f t="shared" si="5"/>
        <v>221.60520000000002</v>
      </c>
      <c r="G156" s="4">
        <f t="shared" si="6"/>
        <v>75.316800000000015</v>
      </c>
    </row>
    <row r="157" spans="5:7" ht="15.75" customHeight="1" x14ac:dyDescent="0.2">
      <c r="E157" s="4">
        <f t="shared" si="2"/>
        <v>54</v>
      </c>
      <c r="F157" s="27">
        <f t="shared" si="5"/>
        <v>223.05360000000002</v>
      </c>
      <c r="G157" s="4">
        <f t="shared" si="6"/>
        <v>76.765200000000007</v>
      </c>
    </row>
    <row r="158" spans="5:7" ht="15.75" customHeight="1" x14ac:dyDescent="0.2">
      <c r="E158" s="4">
        <f t="shared" si="2"/>
        <v>55</v>
      </c>
      <c r="F158" s="27">
        <f t="shared" si="5"/>
        <v>224.50200000000001</v>
      </c>
      <c r="G158" s="4">
        <f t="shared" si="6"/>
        <v>78.2136</v>
      </c>
    </row>
    <row r="159" spans="5:7" ht="15.75" customHeight="1" x14ac:dyDescent="0.2">
      <c r="E159" s="4">
        <f t="shared" si="2"/>
        <v>56</v>
      </c>
      <c r="F159" s="27">
        <f t="shared" si="5"/>
        <v>225.9504</v>
      </c>
      <c r="G159" s="4">
        <f t="shared" si="6"/>
        <v>79.661999999999992</v>
      </c>
    </row>
    <row r="160" spans="5:7" ht="15.75" customHeight="1" x14ac:dyDescent="0.2">
      <c r="E160" s="4">
        <f t="shared" si="2"/>
        <v>57</v>
      </c>
      <c r="F160" s="27">
        <f t="shared" si="5"/>
        <v>227.39879999999999</v>
      </c>
      <c r="G160" s="4">
        <f t="shared" si="6"/>
        <v>81.110399999999984</v>
      </c>
    </row>
    <row r="161" spans="5:7" ht="15.75" customHeight="1" x14ac:dyDescent="0.2">
      <c r="E161" s="4">
        <f t="shared" si="2"/>
        <v>58</v>
      </c>
      <c r="F161" s="27">
        <f t="shared" si="5"/>
        <v>228.84719999999999</v>
      </c>
      <c r="G161" s="4">
        <f t="shared" si="6"/>
        <v>82.558799999999977</v>
      </c>
    </row>
    <row r="162" spans="5:7" ht="15.75" customHeight="1" x14ac:dyDescent="0.2">
      <c r="E162" s="4">
        <f t="shared" si="2"/>
        <v>59</v>
      </c>
      <c r="F162" s="27">
        <f t="shared" si="5"/>
        <v>230.29560000000001</v>
      </c>
      <c r="G162" s="4">
        <f t="shared" si="6"/>
        <v>84.007199999999997</v>
      </c>
    </row>
    <row r="163" spans="5:7" ht="15.75" customHeight="1" x14ac:dyDescent="0.2">
      <c r="E163" s="4">
        <f t="shared" si="2"/>
        <v>60</v>
      </c>
      <c r="F163" s="27">
        <f t="shared" si="5"/>
        <v>231.744</v>
      </c>
      <c r="G163" s="4">
        <f t="shared" si="6"/>
        <v>85.45559999999999</v>
      </c>
    </row>
    <row r="164" spans="5:7" ht="15.75" customHeight="1" x14ac:dyDescent="0.2">
      <c r="E164" s="4">
        <f t="shared" si="2"/>
        <v>61</v>
      </c>
      <c r="F164" s="27">
        <f t="shared" si="5"/>
        <v>233.19240000000002</v>
      </c>
      <c r="G164" s="4">
        <f t="shared" si="6"/>
        <v>86.904000000000011</v>
      </c>
    </row>
    <row r="165" spans="5:7" ht="15.75" customHeight="1" x14ac:dyDescent="0.2">
      <c r="E165" s="4">
        <f t="shared" si="2"/>
        <v>62</v>
      </c>
      <c r="F165" s="27">
        <f t="shared" si="5"/>
        <v>234.64080000000001</v>
      </c>
      <c r="G165" s="4">
        <f t="shared" si="6"/>
        <v>88.352400000000003</v>
      </c>
    </row>
    <row r="166" spans="5:7" ht="15.75" customHeight="1" x14ac:dyDescent="0.2">
      <c r="E166" s="4">
        <f t="shared" si="2"/>
        <v>63</v>
      </c>
      <c r="F166" s="27">
        <f t="shared" si="5"/>
        <v>236.08920000000001</v>
      </c>
      <c r="G166" s="4">
        <f t="shared" si="6"/>
        <v>89.800799999999995</v>
      </c>
    </row>
    <row r="167" spans="5:7" ht="15.75" customHeight="1" x14ac:dyDescent="0.2">
      <c r="E167" s="4">
        <f t="shared" si="2"/>
        <v>64</v>
      </c>
      <c r="F167" s="27">
        <f t="shared" si="5"/>
        <v>237.5376</v>
      </c>
      <c r="G167" s="4">
        <f t="shared" si="6"/>
        <v>91.249199999999988</v>
      </c>
    </row>
    <row r="168" spans="5:7" ht="15.75" customHeight="1" x14ac:dyDescent="0.2">
      <c r="E168" s="4">
        <f t="shared" si="2"/>
        <v>65</v>
      </c>
      <c r="F168" s="27">
        <f t="shared" si="5"/>
        <v>238.98599999999999</v>
      </c>
      <c r="G168" s="4">
        <f t="shared" si="6"/>
        <v>92.69759999999998</v>
      </c>
    </row>
    <row r="169" spans="5:7" ht="15.75" customHeight="1" x14ac:dyDescent="0.2">
      <c r="E169" s="4">
        <f t="shared" si="2"/>
        <v>66</v>
      </c>
      <c r="F169" s="27">
        <f t="shared" si="5"/>
        <v>240.43440000000001</v>
      </c>
      <c r="G169" s="4">
        <f t="shared" si="6"/>
        <v>94.146000000000001</v>
      </c>
    </row>
    <row r="170" spans="5:7" ht="15.75" customHeight="1" x14ac:dyDescent="0.2">
      <c r="E170" s="4">
        <f t="shared" si="2"/>
        <v>67</v>
      </c>
      <c r="F170" s="27">
        <f t="shared" si="5"/>
        <v>241.88280000000003</v>
      </c>
      <c r="G170" s="4">
        <f t="shared" si="6"/>
        <v>95.594400000000022</v>
      </c>
    </row>
    <row r="171" spans="5:7" ht="15.75" customHeight="1" x14ac:dyDescent="0.2">
      <c r="E171" s="4">
        <f t="shared" si="2"/>
        <v>68</v>
      </c>
      <c r="F171" s="27">
        <f t="shared" si="5"/>
        <v>243.33120000000002</v>
      </c>
      <c r="G171" s="4">
        <f t="shared" si="6"/>
        <v>97.042800000000014</v>
      </c>
    </row>
    <row r="172" spans="5:7" ht="15.75" customHeight="1" x14ac:dyDescent="0.2">
      <c r="E172" s="4">
        <f t="shared" si="2"/>
        <v>69</v>
      </c>
      <c r="F172" s="27">
        <f t="shared" si="5"/>
        <v>244.77960000000002</v>
      </c>
      <c r="G172" s="4">
        <f t="shared" si="6"/>
        <v>98.491200000000006</v>
      </c>
    </row>
    <row r="173" spans="5:7" ht="15.75" customHeight="1" x14ac:dyDescent="0.2">
      <c r="E173" s="4">
        <f t="shared" si="2"/>
        <v>70</v>
      </c>
      <c r="F173" s="27">
        <f t="shared" si="5"/>
        <v>246.22800000000001</v>
      </c>
      <c r="G173" s="4">
        <f t="shared" si="6"/>
        <v>99.939599999999999</v>
      </c>
    </row>
    <row r="174" spans="5:7" ht="15.75" customHeight="1" x14ac:dyDescent="0.2">
      <c r="E174" s="4">
        <f t="shared" si="2"/>
        <v>71</v>
      </c>
      <c r="F174" s="27">
        <f t="shared" si="5"/>
        <v>247.6764</v>
      </c>
      <c r="G174" s="4">
        <f t="shared" si="6"/>
        <v>101.38799999999999</v>
      </c>
    </row>
    <row r="175" spans="5:7" ht="15.75" customHeight="1" x14ac:dyDescent="0.2">
      <c r="E175" s="4">
        <f t="shared" si="2"/>
        <v>72</v>
      </c>
      <c r="F175" s="27">
        <f t="shared" si="5"/>
        <v>249.12479999999999</v>
      </c>
      <c r="G175" s="4">
        <f t="shared" si="6"/>
        <v>102.83639999999998</v>
      </c>
    </row>
    <row r="176" spans="5:7" ht="15.75" customHeight="1" x14ac:dyDescent="0.2">
      <c r="E176" s="4">
        <f t="shared" si="2"/>
        <v>73</v>
      </c>
      <c r="F176" s="27">
        <f t="shared" si="5"/>
        <v>250.57319999999999</v>
      </c>
      <c r="G176" s="4">
        <f t="shared" si="6"/>
        <v>104.28479999999998</v>
      </c>
    </row>
    <row r="177" spans="5:7" ht="15.75" customHeight="1" x14ac:dyDescent="0.2">
      <c r="E177" s="4">
        <f t="shared" si="2"/>
        <v>74</v>
      </c>
      <c r="F177" s="27">
        <f t="shared" si="5"/>
        <v>252.02160000000001</v>
      </c>
      <c r="G177" s="4">
        <f t="shared" si="6"/>
        <v>105.7332</v>
      </c>
    </row>
    <row r="178" spans="5:7" ht="15.75" customHeight="1" x14ac:dyDescent="0.2">
      <c r="E178" s="4">
        <f t="shared" si="2"/>
        <v>75</v>
      </c>
      <c r="F178" s="27">
        <f t="shared" si="5"/>
        <v>253.47</v>
      </c>
      <c r="G178" s="4">
        <f t="shared" si="6"/>
        <v>107.18159999999999</v>
      </c>
    </row>
    <row r="179" spans="5:7" ht="15.75" customHeight="1" x14ac:dyDescent="0.2">
      <c r="E179" s="4">
        <f t="shared" si="2"/>
        <v>76</v>
      </c>
      <c r="F179" s="27">
        <f t="shared" si="5"/>
        <v>254.91840000000002</v>
      </c>
      <c r="G179" s="4">
        <f t="shared" si="6"/>
        <v>108.63000000000001</v>
      </c>
    </row>
    <row r="180" spans="5:7" ht="15.75" customHeight="1" x14ac:dyDescent="0.2">
      <c r="E180" s="4">
        <f t="shared" si="2"/>
        <v>77</v>
      </c>
      <c r="F180" s="27">
        <f t="shared" si="5"/>
        <v>256.36680000000001</v>
      </c>
      <c r="G180" s="4">
        <f t="shared" si="6"/>
        <v>110.0784</v>
      </c>
    </row>
    <row r="181" spans="5:7" ht="15.75" customHeight="1" x14ac:dyDescent="0.2">
      <c r="E181" s="4">
        <f t="shared" si="2"/>
        <v>78</v>
      </c>
      <c r="F181" s="27">
        <f t="shared" si="5"/>
        <v>257.8152</v>
      </c>
      <c r="G181" s="4">
        <f t="shared" si="6"/>
        <v>111.52679999999999</v>
      </c>
    </row>
    <row r="182" spans="5:7" ht="15.75" customHeight="1" x14ac:dyDescent="0.2">
      <c r="E182" s="4">
        <f t="shared" si="2"/>
        <v>79</v>
      </c>
      <c r="F182" s="27">
        <f t="shared" si="5"/>
        <v>259.2636</v>
      </c>
      <c r="G182" s="4">
        <f t="shared" si="6"/>
        <v>112.97519999999999</v>
      </c>
    </row>
    <row r="183" spans="5:7" ht="15.75" customHeight="1" x14ac:dyDescent="0.2">
      <c r="E183" s="4">
        <f t="shared" si="2"/>
        <v>80</v>
      </c>
      <c r="F183" s="27">
        <f t="shared" si="5"/>
        <v>260.71199999999999</v>
      </c>
      <c r="G183" s="4">
        <f t="shared" si="6"/>
        <v>114.42359999999998</v>
      </c>
    </row>
    <row r="184" spans="5:7" ht="15.75" customHeight="1" x14ac:dyDescent="0.2">
      <c r="E184" s="4">
        <f t="shared" si="2"/>
        <v>81</v>
      </c>
      <c r="F184" s="27">
        <f t="shared" si="5"/>
        <v>262.16039999999998</v>
      </c>
      <c r="G184" s="4">
        <f t="shared" si="6"/>
        <v>115.87199999999997</v>
      </c>
    </row>
    <row r="185" spans="5:7" ht="15.75" customHeight="1" x14ac:dyDescent="0.2">
      <c r="E185" s="4">
        <f t="shared" si="2"/>
        <v>82</v>
      </c>
      <c r="F185" s="27">
        <f t="shared" si="5"/>
        <v>263.60879999999997</v>
      </c>
      <c r="G185" s="4">
        <f t="shared" si="6"/>
        <v>117.32039999999996</v>
      </c>
    </row>
    <row r="186" spans="5:7" ht="15.75" customHeight="1" x14ac:dyDescent="0.2">
      <c r="E186" s="4">
        <f t="shared" si="2"/>
        <v>83</v>
      </c>
      <c r="F186" s="27">
        <f t="shared" si="5"/>
        <v>265.05719999999997</v>
      </c>
      <c r="G186" s="4">
        <f t="shared" si="6"/>
        <v>118.76879999999996</v>
      </c>
    </row>
    <row r="187" spans="5:7" ht="15.75" customHeight="1" x14ac:dyDescent="0.2">
      <c r="E187" s="4">
        <f t="shared" si="2"/>
        <v>84</v>
      </c>
      <c r="F187" s="27">
        <f t="shared" si="5"/>
        <v>266.50560000000002</v>
      </c>
      <c r="G187" s="4">
        <f t="shared" si="6"/>
        <v>120.21720000000001</v>
      </c>
    </row>
    <row r="188" spans="5:7" ht="15.75" customHeight="1" x14ac:dyDescent="0.2">
      <c r="E188" s="4">
        <f t="shared" si="2"/>
        <v>85</v>
      </c>
      <c r="F188" s="27">
        <f t="shared" si="5"/>
        <v>267.95400000000001</v>
      </c>
      <c r="G188" s="4">
        <f t="shared" si="6"/>
        <v>121.6656</v>
      </c>
    </row>
    <row r="189" spans="5:7" ht="15.75" customHeight="1" x14ac:dyDescent="0.2">
      <c r="E189" s="4">
        <f t="shared" si="2"/>
        <v>86</v>
      </c>
      <c r="F189" s="27">
        <f t="shared" si="5"/>
        <v>269.4024</v>
      </c>
      <c r="G189" s="4">
        <f t="shared" si="6"/>
        <v>123.11399999999999</v>
      </c>
    </row>
    <row r="190" spans="5:7" ht="15.75" customHeight="1" x14ac:dyDescent="0.2">
      <c r="E190" s="4">
        <f t="shared" si="2"/>
        <v>87</v>
      </c>
      <c r="F190" s="27">
        <f t="shared" si="5"/>
        <v>270.85079999999999</v>
      </c>
      <c r="G190" s="4">
        <f t="shared" si="6"/>
        <v>124.56239999999998</v>
      </c>
    </row>
    <row r="191" spans="5:7" ht="15.75" customHeight="1" x14ac:dyDescent="0.2">
      <c r="E191" s="4">
        <f t="shared" si="2"/>
        <v>88</v>
      </c>
      <c r="F191" s="27">
        <f t="shared" si="5"/>
        <v>272.29920000000004</v>
      </c>
      <c r="G191" s="4">
        <f t="shared" si="6"/>
        <v>126.01080000000003</v>
      </c>
    </row>
    <row r="192" spans="5:7" ht="15.75" customHeight="1" x14ac:dyDescent="0.2">
      <c r="E192" s="4">
        <f t="shared" si="2"/>
        <v>89</v>
      </c>
      <c r="F192" s="27">
        <f t="shared" si="5"/>
        <v>273.74760000000003</v>
      </c>
      <c r="G192" s="4">
        <f t="shared" si="6"/>
        <v>127.45920000000002</v>
      </c>
    </row>
    <row r="193" spans="5:7" ht="15.75" customHeight="1" x14ac:dyDescent="0.2">
      <c r="E193" s="4">
        <f t="shared" si="2"/>
        <v>90</v>
      </c>
      <c r="F193" s="27">
        <f t="shared" si="5"/>
        <v>275.19600000000003</v>
      </c>
      <c r="G193" s="4">
        <f t="shared" si="6"/>
        <v>128.90760000000003</v>
      </c>
    </row>
    <row r="194" spans="5:7" ht="15.75" customHeight="1" x14ac:dyDescent="0.2">
      <c r="E194" s="4">
        <f t="shared" si="2"/>
        <v>91</v>
      </c>
      <c r="F194" s="27">
        <f t="shared" si="5"/>
        <v>276.64440000000002</v>
      </c>
      <c r="G194" s="4">
        <f t="shared" si="6"/>
        <v>130.35600000000002</v>
      </c>
    </row>
    <row r="195" spans="5:7" ht="15.75" customHeight="1" x14ac:dyDescent="0.2">
      <c r="E195" s="4">
        <f t="shared" si="2"/>
        <v>92</v>
      </c>
      <c r="F195" s="27">
        <f t="shared" ref="F195:F203" si="7">Stock+(E195/100)*Stock</f>
        <v>278.09280000000001</v>
      </c>
      <c r="G195" s="4">
        <f t="shared" ref="G195:G203" si="8">IF(bs_option_type="Call",IF(((F195-Stock-1%*Stock))&lt;-1%*Stock,-1%*Stock,(F195-Stock-1%*Stock)*1),IF((Exercise-1%*Stock)-F195&lt;-1%*Stock,-1%*Stock,(Exercise-1%*Stock)-F195))</f>
        <v>131.80440000000002</v>
      </c>
    </row>
    <row r="196" spans="5:7" ht="15.75" customHeight="1" x14ac:dyDescent="0.2">
      <c r="E196" s="4">
        <f t="shared" si="2"/>
        <v>93</v>
      </c>
      <c r="F196" s="27">
        <f t="shared" si="7"/>
        <v>279.5412</v>
      </c>
      <c r="G196" s="4">
        <f t="shared" si="8"/>
        <v>133.25280000000001</v>
      </c>
    </row>
    <row r="197" spans="5:7" ht="15.75" customHeight="1" x14ac:dyDescent="0.2">
      <c r="E197" s="4">
        <f t="shared" si="2"/>
        <v>94</v>
      </c>
      <c r="F197" s="27">
        <f t="shared" si="7"/>
        <v>280.9896</v>
      </c>
      <c r="G197" s="4">
        <f t="shared" si="8"/>
        <v>134.7012</v>
      </c>
    </row>
    <row r="198" spans="5:7" ht="15.75" customHeight="1" x14ac:dyDescent="0.2">
      <c r="E198" s="4">
        <f t="shared" si="2"/>
        <v>95</v>
      </c>
      <c r="F198" s="27">
        <f t="shared" si="7"/>
        <v>282.43799999999999</v>
      </c>
      <c r="G198" s="4">
        <f t="shared" si="8"/>
        <v>136.14959999999999</v>
      </c>
    </row>
    <row r="199" spans="5:7" ht="15.75" customHeight="1" x14ac:dyDescent="0.2">
      <c r="E199" s="4">
        <f t="shared" si="2"/>
        <v>96</v>
      </c>
      <c r="F199" s="27">
        <f t="shared" si="7"/>
        <v>283.88639999999998</v>
      </c>
      <c r="G199" s="4">
        <f t="shared" si="8"/>
        <v>137.59799999999998</v>
      </c>
    </row>
    <row r="200" spans="5:7" ht="15.75" customHeight="1" x14ac:dyDescent="0.2">
      <c r="E200" s="4">
        <f t="shared" si="2"/>
        <v>97</v>
      </c>
      <c r="F200" s="27">
        <f t="shared" si="7"/>
        <v>285.33479999999997</v>
      </c>
      <c r="G200" s="4">
        <f t="shared" si="8"/>
        <v>139.04639999999998</v>
      </c>
    </row>
    <row r="201" spans="5:7" ht="15.75" customHeight="1" x14ac:dyDescent="0.2">
      <c r="E201" s="4">
        <f t="shared" si="2"/>
        <v>98</v>
      </c>
      <c r="F201" s="27">
        <f t="shared" si="7"/>
        <v>286.78319999999997</v>
      </c>
      <c r="G201" s="4">
        <f t="shared" si="8"/>
        <v>140.49479999999997</v>
      </c>
    </row>
    <row r="202" spans="5:7" ht="15.75" customHeight="1" x14ac:dyDescent="0.2">
      <c r="E202" s="4">
        <f t="shared" si="2"/>
        <v>99</v>
      </c>
      <c r="F202" s="27">
        <f t="shared" si="7"/>
        <v>288.23160000000001</v>
      </c>
      <c r="G202" s="4">
        <f t="shared" si="8"/>
        <v>141.94320000000002</v>
      </c>
    </row>
    <row r="203" spans="5:7" ht="15.75" customHeight="1" x14ac:dyDescent="0.2">
      <c r="E203" s="4">
        <f t="shared" si="2"/>
        <v>100</v>
      </c>
      <c r="F203" s="27">
        <f t="shared" si="7"/>
        <v>289.68</v>
      </c>
      <c r="G203" s="4">
        <f t="shared" si="8"/>
        <v>143.39160000000001</v>
      </c>
    </row>
    <row r="204" spans="5:7" ht="15.75" customHeight="1" x14ac:dyDescent="0.15"/>
    <row r="205" spans="5:7" ht="15.75" customHeight="1" x14ac:dyDescent="0.15"/>
    <row r="206" spans="5:7" ht="15.75" customHeight="1" x14ac:dyDescent="0.15"/>
    <row r="207" spans="5:7" ht="15.75" customHeight="1" x14ac:dyDescent="0.15"/>
    <row r="208" spans="5:7"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23</vt:i4>
      </vt:variant>
    </vt:vector>
  </HeadingPairs>
  <TitlesOfParts>
    <vt:vector size="30" baseType="lpstr">
      <vt:lpstr>ReadMe</vt:lpstr>
      <vt:lpstr>Inputs</vt:lpstr>
      <vt:lpstr>BinomialModel</vt:lpstr>
      <vt:lpstr>Refresh Black&amp;Scholes </vt:lpstr>
      <vt:lpstr>Black&amp;Scholes</vt:lpstr>
      <vt:lpstr>Market Data</vt:lpstr>
      <vt:lpstr>Aux</vt:lpstr>
      <vt:lpstr>Inputs!bs_option_type</vt:lpstr>
      <vt:lpstr>bs_option_type</vt:lpstr>
      <vt:lpstr>d_1</vt:lpstr>
      <vt:lpstr>d_2</vt:lpstr>
      <vt:lpstr>dividend_rate</vt:lpstr>
      <vt:lpstr>Inputs!Exercise</vt:lpstr>
      <vt:lpstr>Exercise</vt:lpstr>
      <vt:lpstr>Inputs!expected_return</vt:lpstr>
      <vt:lpstr>expected_return</vt:lpstr>
      <vt:lpstr>n_periods</vt:lpstr>
      <vt:lpstr>Nd_1</vt:lpstr>
      <vt:lpstr>Nd_2</vt:lpstr>
      <vt:lpstr>Nminusd_1</vt:lpstr>
      <vt:lpstr>Nminusd_2</vt:lpstr>
      <vt:lpstr>Inputs!Rate</vt:lpstr>
      <vt:lpstr>Rate</vt:lpstr>
      <vt:lpstr>Inputs!Sigma</vt:lpstr>
      <vt:lpstr>Sigma</vt:lpstr>
      <vt:lpstr>Inputs!Stock</vt:lpstr>
      <vt:lpstr>Stock</vt:lpstr>
      <vt:lpstr>Inputs!Time</vt:lpstr>
      <vt:lpstr>Time</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Jardiel Júnior</cp:lastModifiedBy>
  <dcterms:created xsi:type="dcterms:W3CDTF">2021-10-14T12:19:46Z</dcterms:created>
  <dcterms:modified xsi:type="dcterms:W3CDTF">2021-10-21T15:54:47Z</dcterms:modified>
</cp:coreProperties>
</file>