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mc:AlternateContent xmlns:mc="http://schemas.openxmlformats.org/markup-compatibility/2006">
    <mc:Choice Requires="x15">
      <x15ac:absPath xmlns:x15ac="http://schemas.microsoft.com/office/spreadsheetml/2010/11/ac" url="/Users/jardieljunior/Desktop/projects/derivatives/"/>
    </mc:Choice>
  </mc:AlternateContent>
  <xr:revisionPtr revIDLastSave="0" documentId="13_ncr:1_{633FE192-D45B-4446-918C-46E9E7285410}" xr6:coauthVersionLast="47" xr6:coauthVersionMax="47" xr10:uidLastSave="{00000000-0000-0000-0000-000000000000}"/>
  <bookViews>
    <workbookView xWindow="-40" yWindow="460" windowWidth="28800" windowHeight="16540" activeTab="1" xr2:uid="{00000000-000D-0000-FFFF-FFFF00000000}"/>
  </bookViews>
  <sheets>
    <sheet name="ReadMe" sheetId="1" r:id="rId1"/>
    <sheet name="Inputs" sheetId="2" r:id="rId2"/>
    <sheet name="BinomialModel" sheetId="3" r:id="rId3"/>
    <sheet name="Black&amp;Scholes" sheetId="5" r:id="rId4"/>
    <sheet name="Market Data" sheetId="6" r:id="rId5"/>
    <sheet name="Aux" sheetId="7" state="hidden" r:id="rId6"/>
  </sheets>
  <functionGroups builtInGroupCount="19"/>
  <definedNames>
    <definedName name="bs_option_type" localSheetId="1">Inputs!$B$4</definedName>
    <definedName name="bs_option_type">Inputs!$B$4</definedName>
    <definedName name="d_1" localSheetId="1">#REF!</definedName>
    <definedName name="d_1">'Black&amp;Scholes'!$D$4</definedName>
    <definedName name="d_2" localSheetId="1">#REF!</definedName>
    <definedName name="d_2">'Black&amp;Scholes'!$D$5</definedName>
    <definedName name="dividend_rate">Inputs!$B$11</definedName>
    <definedName name="down_factor">BinomialModel!$B$7</definedName>
    <definedName name="Exercise" localSheetId="1">Inputs!$B$6</definedName>
    <definedName name="Exercise">Inputs!$B$6</definedName>
    <definedName name="expected_return" localSheetId="1">Inputs!$B$10</definedName>
    <definedName name="expected_return">Inputs!$B$10</definedName>
    <definedName name="hedge_ratio">BinomialModel!$K$5</definedName>
    <definedName name="n_periods">Inputs!$B$12</definedName>
    <definedName name="Nd_1" localSheetId="1">#REF!</definedName>
    <definedName name="Nd_1">'Black&amp;Scholes'!$D$6</definedName>
    <definedName name="Nd_2" localSheetId="1">#REF!</definedName>
    <definedName name="Nd_2">'Black&amp;Scholes'!$D$7</definedName>
    <definedName name="Nminusd_1" localSheetId="1">#REF!</definedName>
    <definedName name="Nminusd_1">'Black&amp;Scholes'!$D$8</definedName>
    <definedName name="Nminusd_2" localSheetId="1">#REF!</definedName>
    <definedName name="Nminusd_2">'Black&amp;Scholes'!$D$9</definedName>
    <definedName name="Rate" localSheetId="1">Inputs!$B$7</definedName>
    <definedName name="Rate">Inputs!$B$7</definedName>
    <definedName name="Sigma" localSheetId="1">Inputs!$B$8</definedName>
    <definedName name="Sigma">Inputs!$B$8</definedName>
    <definedName name="Stock" localSheetId="1">Inputs!$B$5</definedName>
    <definedName name="Stock">Inputs!$B$5</definedName>
    <definedName name="test_vba_bs" localSheetId="1">#REF!</definedName>
    <definedName name="Time" localSheetId="1">Inputs!$B$9</definedName>
    <definedName name="Time">Inputs!$B$9</definedName>
    <definedName name="up_factor">BinomialModel!$B$6</definedName>
    <definedName name="vba_bs_result">'Black&amp;Scholes'!$D$14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12" roundtripDataSignature="AMtx7mipsEshGI7QTloL+WrSeT5pyN5ODg=="/>
    </ext>
  </extLst>
</workbook>
</file>

<file path=xl/calcChain.xml><?xml version="1.0" encoding="utf-8"?>
<calcChain xmlns="http://schemas.openxmlformats.org/spreadsheetml/2006/main">
  <c r="B9" i="2" l="1"/>
  <c r="L88" i="6"/>
  <c r="B7" i="3"/>
  <c r="B6" i="3"/>
  <c r="B8" i="3" s="1"/>
  <c r="E6" i="3" l="1"/>
  <c r="E4" i="7"/>
  <c r="E5" i="7" s="1"/>
  <c r="F3" i="7"/>
  <c r="G3" i="7" s="1"/>
  <c r="T44" i="6"/>
  <c r="T43" i="6"/>
  <c r="T42" i="6"/>
  <c r="T41" i="6"/>
  <c r="T40" i="6"/>
  <c r="T39" i="6"/>
  <c r="T38" i="6"/>
  <c r="T37" i="6"/>
  <c r="T36" i="6"/>
  <c r="T35" i="6"/>
  <c r="T34" i="6"/>
  <c r="T33" i="6"/>
  <c r="T32" i="6"/>
  <c r="T31" i="6"/>
  <c r="T30" i="6"/>
  <c r="T29" i="6"/>
  <c r="T28" i="6"/>
  <c r="T27" i="6"/>
  <c r="T26" i="6"/>
  <c r="T25" i="6"/>
  <c r="T24" i="6"/>
  <c r="T23" i="6"/>
  <c r="T22" i="6"/>
  <c r="T21" i="6"/>
  <c r="T20" i="6"/>
  <c r="T19" i="6"/>
  <c r="T18" i="6"/>
  <c r="T17" i="6"/>
  <c r="T16" i="6"/>
  <c r="T15" i="6"/>
  <c r="T14" i="6"/>
  <c r="T13" i="6"/>
  <c r="T12" i="6"/>
  <c r="T11" i="6"/>
  <c r="T10" i="6"/>
  <c r="T9" i="6"/>
  <c r="T8" i="6"/>
  <c r="T7" i="6"/>
  <c r="T6" i="6"/>
  <c r="T5" i="6"/>
  <c r="T4" i="6"/>
  <c r="T3" i="6"/>
  <c r="A25" i="3"/>
  <c r="I4" i="5"/>
  <c r="I12" i="5"/>
  <c r="I5" i="5"/>
  <c r="I9" i="5"/>
  <c r="I8" i="5"/>
  <c r="I11" i="5"/>
  <c r="I10" i="5"/>
  <c r="I7" i="5"/>
  <c r="I13" i="5"/>
  <c r="I6" i="5"/>
  <c r="T45" i="6" l="1"/>
  <c r="D5" i="5"/>
  <c r="D9" i="5" s="1"/>
  <c r="D4" i="5"/>
  <c r="D8" i="5" s="1"/>
  <c r="B24" i="3"/>
  <c r="B26" i="3"/>
  <c r="C27" i="3" s="1"/>
  <c r="D28" i="3" s="1"/>
  <c r="E29" i="3" s="1"/>
  <c r="F30" i="3" s="1"/>
  <c r="E6" i="7"/>
  <c r="F5" i="7"/>
  <c r="G5" i="7" s="1"/>
  <c r="F4" i="7"/>
  <c r="G4" i="7" s="1"/>
  <c r="G31" i="3" l="1"/>
  <c r="H32" i="3" s="1"/>
  <c r="I33" i="3" s="1"/>
  <c r="J34" i="3" s="1"/>
  <c r="K35" i="3" s="1"/>
  <c r="L36" i="3" s="1"/>
  <c r="M37" i="3" s="1"/>
  <c r="E7" i="3"/>
  <c r="D6" i="5"/>
  <c r="D7" i="5"/>
  <c r="C23" i="3"/>
  <c r="C25" i="3"/>
  <c r="D26" i="3" s="1"/>
  <c r="E27" i="3" s="1"/>
  <c r="F28" i="3" s="1"/>
  <c r="E7" i="7"/>
  <c r="F6" i="7"/>
  <c r="G6" i="7" s="1"/>
  <c r="D11" i="5"/>
  <c r="M92" i="3" l="1"/>
  <c r="M65" i="3"/>
  <c r="G29" i="3"/>
  <c r="H30" i="3" s="1"/>
  <c r="I31" i="3" s="1"/>
  <c r="J32" i="3" s="1"/>
  <c r="K33" i="3" s="1"/>
  <c r="L34" i="3" s="1"/>
  <c r="M35" i="3" s="1"/>
  <c r="M63" i="3" s="1"/>
  <c r="D12" i="5"/>
  <c r="D16" i="5" s="1"/>
  <c r="D10" i="5"/>
  <c r="F7" i="7"/>
  <c r="G7" i="7" s="1"/>
  <c r="E8" i="7"/>
  <c r="D22" i="3"/>
  <c r="D24" i="3"/>
  <c r="E25" i="3" s="1"/>
  <c r="F26" i="3" s="1"/>
  <c r="L64" i="3" l="1"/>
  <c r="M90" i="3"/>
  <c r="L91" i="3" s="1"/>
  <c r="G27" i="3"/>
  <c r="H28" i="3" s="1"/>
  <c r="I29" i="3" s="1"/>
  <c r="J30" i="3" s="1"/>
  <c r="K31" i="3" s="1"/>
  <c r="L32" i="3" s="1"/>
  <c r="M33" i="3" s="1"/>
  <c r="E23" i="3"/>
  <c r="F24" i="3" s="1"/>
  <c r="E21" i="3"/>
  <c r="E9" i="7"/>
  <c r="F8" i="7"/>
  <c r="G8" i="7" s="1"/>
  <c r="M88" i="3" l="1"/>
  <c r="L89" i="3" s="1"/>
  <c r="K90" i="3" s="1"/>
  <c r="M61" i="3"/>
  <c r="L62" i="3" s="1"/>
  <c r="K63" i="3" s="1"/>
  <c r="G25" i="3"/>
  <c r="H26" i="3" s="1"/>
  <c r="I27" i="3" s="1"/>
  <c r="J28" i="3" s="1"/>
  <c r="K29" i="3" s="1"/>
  <c r="L30" i="3" s="1"/>
  <c r="M31" i="3" s="1"/>
  <c r="M86" i="3" s="1"/>
  <c r="E10" i="7"/>
  <c r="F9" i="7"/>
  <c r="G9" i="7" s="1"/>
  <c r="F20" i="3"/>
  <c r="F22" i="3"/>
  <c r="L87" i="3" l="1"/>
  <c r="K88" i="3" s="1"/>
  <c r="J89" i="3" s="1"/>
  <c r="M59" i="3"/>
  <c r="L60" i="3" s="1"/>
  <c r="K61" i="3" s="1"/>
  <c r="J62" i="3" s="1"/>
  <c r="G23" i="3"/>
  <c r="H24" i="3" s="1"/>
  <c r="I25" i="3" s="1"/>
  <c r="J26" i="3" s="1"/>
  <c r="K27" i="3" s="1"/>
  <c r="L28" i="3" s="1"/>
  <c r="M29" i="3" s="1"/>
  <c r="G21" i="3"/>
  <c r="H22" i="3" s="1"/>
  <c r="I23" i="3" s="1"/>
  <c r="J24" i="3" s="1"/>
  <c r="K25" i="3" s="1"/>
  <c r="L26" i="3" s="1"/>
  <c r="M27" i="3" s="1"/>
  <c r="G19" i="3"/>
  <c r="E11" i="7"/>
  <c r="F10" i="7"/>
  <c r="G10" i="7" s="1"/>
  <c r="M57" i="3" l="1"/>
  <c r="L58" i="3" s="1"/>
  <c r="K59" i="3" s="1"/>
  <c r="J60" i="3" s="1"/>
  <c r="I61" i="3" s="1"/>
  <c r="M84" i="3"/>
  <c r="L85" i="3" s="1"/>
  <c r="K86" i="3" s="1"/>
  <c r="J87" i="3" s="1"/>
  <c r="I88" i="3" s="1"/>
  <c r="M82" i="3"/>
  <c r="M55" i="3"/>
  <c r="F11" i="7"/>
  <c r="G11" i="7" s="1"/>
  <c r="E12" i="7"/>
  <c r="H18" i="3"/>
  <c r="H20" i="3"/>
  <c r="I21" i="3" s="1"/>
  <c r="J22" i="3" s="1"/>
  <c r="K23" i="3" s="1"/>
  <c r="L24" i="3" s="1"/>
  <c r="M25" i="3" s="1"/>
  <c r="L56" i="3" l="1"/>
  <c r="K57" i="3" s="1"/>
  <c r="J58" i="3" s="1"/>
  <c r="I59" i="3" s="1"/>
  <c r="H60" i="3" s="1"/>
  <c r="L83" i="3"/>
  <c r="K84" i="3" s="1"/>
  <c r="J85" i="3" s="1"/>
  <c r="I86" i="3" s="1"/>
  <c r="H87" i="3" s="1"/>
  <c r="M80" i="3"/>
  <c r="L81" i="3" s="1"/>
  <c r="M53" i="3"/>
  <c r="L54" i="3" s="1"/>
  <c r="I17" i="3"/>
  <c r="I19" i="3"/>
  <c r="J20" i="3" s="1"/>
  <c r="K21" i="3" s="1"/>
  <c r="L22" i="3" s="1"/>
  <c r="M23" i="3" s="1"/>
  <c r="E13" i="7"/>
  <c r="F12" i="7"/>
  <c r="G12" i="7" s="1"/>
  <c r="K82" i="3" l="1"/>
  <c r="J83" i="3" s="1"/>
  <c r="I84" i="3" s="1"/>
  <c r="H85" i="3" s="1"/>
  <c r="G86" i="3" s="1"/>
  <c r="K55" i="3"/>
  <c r="J56" i="3" s="1"/>
  <c r="I57" i="3" s="1"/>
  <c r="H58" i="3" s="1"/>
  <c r="G59" i="3" s="1"/>
  <c r="M78" i="3"/>
  <c r="L79" i="3" s="1"/>
  <c r="K80" i="3" s="1"/>
  <c r="M51" i="3"/>
  <c r="L52" i="3" s="1"/>
  <c r="K53" i="3" s="1"/>
  <c r="E14" i="7"/>
  <c r="F13" i="7"/>
  <c r="G13" i="7" s="1"/>
  <c r="J16" i="3"/>
  <c r="J18" i="3"/>
  <c r="K19" i="3" s="1"/>
  <c r="L20" i="3" s="1"/>
  <c r="M21" i="3" s="1"/>
  <c r="J81" i="3" l="1"/>
  <c r="I82" i="3" s="1"/>
  <c r="H83" i="3" s="1"/>
  <c r="G84" i="3" s="1"/>
  <c r="F85" i="3" s="1"/>
  <c r="J54" i="3"/>
  <c r="I55" i="3" s="1"/>
  <c r="H56" i="3" s="1"/>
  <c r="G57" i="3" s="1"/>
  <c r="F58" i="3" s="1"/>
  <c r="M76" i="3"/>
  <c r="L77" i="3" s="1"/>
  <c r="K78" i="3" s="1"/>
  <c r="J79" i="3" s="1"/>
  <c r="I80" i="3" s="1"/>
  <c r="H81" i="3" s="1"/>
  <c r="G82" i="3" s="1"/>
  <c r="F83" i="3" s="1"/>
  <c r="E84" i="3" s="1"/>
  <c r="M49" i="3"/>
  <c r="L50" i="3" s="1"/>
  <c r="K51" i="3" s="1"/>
  <c r="J52" i="3" s="1"/>
  <c r="I53" i="3" s="1"/>
  <c r="H54" i="3" s="1"/>
  <c r="G55" i="3" s="1"/>
  <c r="F56" i="3" s="1"/>
  <c r="E57" i="3" s="1"/>
  <c r="K17" i="3"/>
  <c r="L18" i="3" s="1"/>
  <c r="M19" i="3" s="1"/>
  <c r="K15" i="3"/>
  <c r="E15" i="7"/>
  <c r="F14" i="7"/>
  <c r="G14" i="7" s="1"/>
  <c r="M74" i="3" l="1"/>
  <c r="L75" i="3" s="1"/>
  <c r="K76" i="3" s="1"/>
  <c r="J77" i="3" s="1"/>
  <c r="I78" i="3" s="1"/>
  <c r="H79" i="3" s="1"/>
  <c r="G80" i="3" s="1"/>
  <c r="F81" i="3" s="1"/>
  <c r="E82" i="3" s="1"/>
  <c r="D83" i="3" s="1"/>
  <c r="M47" i="3"/>
  <c r="L48" i="3" s="1"/>
  <c r="K49" i="3" s="1"/>
  <c r="J50" i="3" s="1"/>
  <c r="I51" i="3" s="1"/>
  <c r="H52" i="3" s="1"/>
  <c r="G53" i="3" s="1"/>
  <c r="F54" i="3" s="1"/>
  <c r="E55" i="3" s="1"/>
  <c r="D56" i="3" s="1"/>
  <c r="F15" i="7"/>
  <c r="G15" i="7" s="1"/>
  <c r="E16" i="7"/>
  <c r="L14" i="3"/>
  <c r="L16" i="3"/>
  <c r="M17" i="3" s="1"/>
  <c r="M72" i="3" l="1"/>
  <c r="L73" i="3" s="1"/>
  <c r="K74" i="3" s="1"/>
  <c r="J75" i="3" s="1"/>
  <c r="I76" i="3" s="1"/>
  <c r="H77" i="3" s="1"/>
  <c r="G78" i="3" s="1"/>
  <c r="F79" i="3" s="1"/>
  <c r="E80" i="3" s="1"/>
  <c r="D81" i="3" s="1"/>
  <c r="C82" i="3" s="1"/>
  <c r="M45" i="3"/>
  <c r="L46" i="3" s="1"/>
  <c r="K47" i="3" s="1"/>
  <c r="J48" i="3" s="1"/>
  <c r="I49" i="3" s="1"/>
  <c r="H50" i="3" s="1"/>
  <c r="G51" i="3" s="1"/>
  <c r="F52" i="3" s="1"/>
  <c r="E53" i="3" s="1"/>
  <c r="D54" i="3" s="1"/>
  <c r="C55" i="3" s="1"/>
  <c r="E17" i="7"/>
  <c r="F16" i="7"/>
  <c r="G16" i="7" s="1"/>
  <c r="M13" i="3"/>
  <c r="M15" i="3"/>
  <c r="M70" i="3" l="1"/>
  <c r="L71" i="3" s="1"/>
  <c r="K72" i="3" s="1"/>
  <c r="J73" i="3" s="1"/>
  <c r="I74" i="3" s="1"/>
  <c r="H75" i="3" s="1"/>
  <c r="G76" i="3" s="1"/>
  <c r="F77" i="3" s="1"/>
  <c r="E78" i="3" s="1"/>
  <c r="D79" i="3" s="1"/>
  <c r="C80" i="3" s="1"/>
  <c r="B81" i="3" s="1"/>
  <c r="M43" i="3"/>
  <c r="L44" i="3" s="1"/>
  <c r="K45" i="3" s="1"/>
  <c r="J46" i="3" s="1"/>
  <c r="I47" i="3" s="1"/>
  <c r="H48" i="3" s="1"/>
  <c r="G49" i="3" s="1"/>
  <c r="F50" i="3" s="1"/>
  <c r="E51" i="3" s="1"/>
  <c r="D52" i="3" s="1"/>
  <c r="C53" i="3" s="1"/>
  <c r="B54" i="3" s="1"/>
  <c r="M68" i="3"/>
  <c r="M41" i="3"/>
  <c r="E18" i="7"/>
  <c r="F17" i="7"/>
  <c r="G17" i="7" s="1"/>
  <c r="L42" i="3" l="1"/>
  <c r="K43" i="3" s="1"/>
  <c r="J44" i="3" s="1"/>
  <c r="I45" i="3" s="1"/>
  <c r="H46" i="3" s="1"/>
  <c r="G47" i="3" s="1"/>
  <c r="F48" i="3" s="1"/>
  <c r="E49" i="3" s="1"/>
  <c r="D50" i="3" s="1"/>
  <c r="C51" i="3" s="1"/>
  <c r="B52" i="3" s="1"/>
  <c r="A53" i="3" s="1"/>
  <c r="E19" i="7"/>
  <c r="F18" i="7"/>
  <c r="G18" i="7" s="1"/>
  <c r="L69" i="3"/>
  <c r="K70" i="3" s="1"/>
  <c r="J71" i="3" s="1"/>
  <c r="I72" i="3" s="1"/>
  <c r="H73" i="3" s="1"/>
  <c r="G74" i="3" s="1"/>
  <c r="F75" i="3" s="1"/>
  <c r="E76" i="3" s="1"/>
  <c r="D77" i="3" s="1"/>
  <c r="C78" i="3" s="1"/>
  <c r="B79" i="3" s="1"/>
  <c r="A80" i="3" s="1"/>
  <c r="H5" i="3" l="1"/>
  <c r="F19" i="7"/>
  <c r="G19" i="7" s="1"/>
  <c r="E20" i="7"/>
  <c r="E21" i="7" l="1"/>
  <c r="F20" i="7"/>
  <c r="G20" i="7" s="1"/>
  <c r="E22" i="7" l="1"/>
  <c r="F21" i="7"/>
  <c r="G21" i="7" s="1"/>
  <c r="E23" i="7" l="1"/>
  <c r="F22" i="7"/>
  <c r="G22" i="7" s="1"/>
  <c r="F23" i="7" l="1"/>
  <c r="G23" i="7" s="1"/>
  <c r="E24" i="7"/>
  <c r="E25" i="7" l="1"/>
  <c r="F24" i="7"/>
  <c r="G24" i="7" s="1"/>
  <c r="E26" i="7" l="1"/>
  <c r="F25" i="7"/>
  <c r="G25" i="7" s="1"/>
  <c r="E27" i="7" l="1"/>
  <c r="F26" i="7"/>
  <c r="G26" i="7" s="1"/>
  <c r="F27" i="7" l="1"/>
  <c r="G27" i="7" s="1"/>
  <c r="E28" i="7"/>
  <c r="E29" i="7" l="1"/>
  <c r="F28" i="7"/>
  <c r="G28" i="7" s="1"/>
  <c r="E30" i="7" l="1"/>
  <c r="F29" i="7"/>
  <c r="G29" i="7" s="1"/>
  <c r="E31" i="7" l="1"/>
  <c r="F30" i="7"/>
  <c r="G30" i="7" s="1"/>
  <c r="F31" i="7" l="1"/>
  <c r="G31" i="7" s="1"/>
  <c r="E32" i="7"/>
  <c r="E33" i="7" l="1"/>
  <c r="F32" i="7"/>
  <c r="G32" i="7" s="1"/>
  <c r="E34" i="7" l="1"/>
  <c r="F33" i="7"/>
  <c r="G33" i="7" s="1"/>
  <c r="E35" i="7" l="1"/>
  <c r="F34" i="7"/>
  <c r="G34" i="7" s="1"/>
  <c r="F35" i="7" l="1"/>
  <c r="G35" i="7" s="1"/>
  <c r="E36" i="7"/>
  <c r="E37" i="7" l="1"/>
  <c r="F36" i="7"/>
  <c r="G36" i="7" s="1"/>
  <c r="E38" i="7" l="1"/>
  <c r="F37" i="7"/>
  <c r="G37" i="7" s="1"/>
  <c r="E39" i="7" l="1"/>
  <c r="F38" i="7"/>
  <c r="G38" i="7" s="1"/>
  <c r="F39" i="7" l="1"/>
  <c r="G39" i="7" s="1"/>
  <c r="E40" i="7"/>
  <c r="E41" i="7" l="1"/>
  <c r="F40" i="7"/>
  <c r="G40" i="7" s="1"/>
  <c r="E42" i="7" l="1"/>
  <c r="F41" i="7"/>
  <c r="G41" i="7" s="1"/>
  <c r="E43" i="7" l="1"/>
  <c r="F42" i="7"/>
  <c r="G42" i="7" s="1"/>
  <c r="F43" i="7" l="1"/>
  <c r="G43" i="7" s="1"/>
  <c r="E44" i="7"/>
  <c r="E45" i="7" l="1"/>
  <c r="F44" i="7"/>
  <c r="G44" i="7" s="1"/>
  <c r="E46" i="7" l="1"/>
  <c r="F45" i="7"/>
  <c r="G45" i="7" s="1"/>
  <c r="E47" i="7" l="1"/>
  <c r="F46" i="7"/>
  <c r="G46" i="7" s="1"/>
  <c r="F47" i="7" l="1"/>
  <c r="G47" i="7" s="1"/>
  <c r="E48" i="7"/>
  <c r="E49" i="7" l="1"/>
  <c r="F48" i="7"/>
  <c r="G48" i="7" s="1"/>
  <c r="E50" i="7" l="1"/>
  <c r="F49" i="7"/>
  <c r="G49" i="7" s="1"/>
  <c r="E51" i="7" l="1"/>
  <c r="F50" i="7"/>
  <c r="G50" i="7" s="1"/>
  <c r="F51" i="7" l="1"/>
  <c r="G51" i="7" s="1"/>
  <c r="E52" i="7"/>
  <c r="E53" i="7" l="1"/>
  <c r="F52" i="7"/>
  <c r="G52" i="7" s="1"/>
  <c r="E54" i="7" l="1"/>
  <c r="F53" i="7"/>
  <c r="G53" i="7" s="1"/>
  <c r="E55" i="7" l="1"/>
  <c r="F54" i="7"/>
  <c r="G54" i="7" s="1"/>
  <c r="F55" i="7" l="1"/>
  <c r="G55" i="7" s="1"/>
  <c r="E56" i="7"/>
  <c r="E57" i="7" l="1"/>
  <c r="F56" i="7"/>
  <c r="G56" i="7" s="1"/>
  <c r="E58" i="7" l="1"/>
  <c r="F57" i="7"/>
  <c r="G57" i="7" s="1"/>
  <c r="E59" i="7" l="1"/>
  <c r="F58" i="7"/>
  <c r="G58" i="7" s="1"/>
  <c r="F59" i="7" l="1"/>
  <c r="G59" i="7" s="1"/>
  <c r="E60" i="7"/>
  <c r="E61" i="7" l="1"/>
  <c r="F60" i="7"/>
  <c r="G60" i="7" s="1"/>
  <c r="E62" i="7" l="1"/>
  <c r="F61" i="7"/>
  <c r="G61" i="7" s="1"/>
  <c r="E63" i="7" l="1"/>
  <c r="F62" i="7"/>
  <c r="G62" i="7" s="1"/>
  <c r="F63" i="7" l="1"/>
  <c r="G63" i="7" s="1"/>
  <c r="E64" i="7"/>
  <c r="E65" i="7" l="1"/>
  <c r="F64" i="7"/>
  <c r="G64" i="7" s="1"/>
  <c r="E66" i="7" l="1"/>
  <c r="F65" i="7"/>
  <c r="G65" i="7" s="1"/>
  <c r="E67" i="7" l="1"/>
  <c r="F66" i="7"/>
  <c r="G66" i="7" s="1"/>
  <c r="F67" i="7" l="1"/>
  <c r="G67" i="7" s="1"/>
  <c r="E68" i="7"/>
  <c r="E69" i="7" l="1"/>
  <c r="F68" i="7"/>
  <c r="G68" i="7" s="1"/>
  <c r="E70" i="7" l="1"/>
  <c r="F69" i="7"/>
  <c r="G69" i="7" s="1"/>
  <c r="E71" i="7" l="1"/>
  <c r="F70" i="7"/>
  <c r="G70" i="7" s="1"/>
  <c r="F71" i="7" l="1"/>
  <c r="G71" i="7" s="1"/>
  <c r="E72" i="7"/>
  <c r="E73" i="7" l="1"/>
  <c r="F72" i="7"/>
  <c r="G72" i="7" s="1"/>
  <c r="E74" i="7" l="1"/>
  <c r="F73" i="7"/>
  <c r="G73" i="7" s="1"/>
  <c r="E75" i="7" l="1"/>
  <c r="F74" i="7"/>
  <c r="G74" i="7" s="1"/>
  <c r="F75" i="7" l="1"/>
  <c r="G75" i="7" s="1"/>
  <c r="E76" i="7"/>
  <c r="E77" i="7" l="1"/>
  <c r="F76" i="7"/>
  <c r="G76" i="7" s="1"/>
  <c r="E78" i="7" l="1"/>
  <c r="F77" i="7"/>
  <c r="G77" i="7" s="1"/>
  <c r="E79" i="7" l="1"/>
  <c r="F78" i="7"/>
  <c r="G78" i="7" s="1"/>
  <c r="F79" i="7" l="1"/>
  <c r="G79" i="7" s="1"/>
  <c r="E80" i="7"/>
  <c r="E81" i="7" l="1"/>
  <c r="F80" i="7"/>
  <c r="G80" i="7" s="1"/>
  <c r="E82" i="7" l="1"/>
  <c r="F81" i="7"/>
  <c r="G81" i="7" s="1"/>
  <c r="E83" i="7" l="1"/>
  <c r="F82" i="7"/>
  <c r="G82" i="7" s="1"/>
  <c r="F83" i="7" l="1"/>
  <c r="G83" i="7" s="1"/>
  <c r="E84" i="7"/>
  <c r="E85" i="7" l="1"/>
  <c r="F84" i="7"/>
  <c r="G84" i="7" s="1"/>
  <c r="E86" i="7" l="1"/>
  <c r="F85" i="7"/>
  <c r="G85" i="7" s="1"/>
  <c r="E87" i="7" l="1"/>
  <c r="F86" i="7"/>
  <c r="G86" i="7" s="1"/>
  <c r="F87" i="7" l="1"/>
  <c r="G87" i="7" s="1"/>
  <c r="E88" i="7"/>
  <c r="E89" i="7" l="1"/>
  <c r="F88" i="7"/>
  <c r="G88" i="7" s="1"/>
  <c r="E90" i="7" l="1"/>
  <c r="F89" i="7"/>
  <c r="G89" i="7" s="1"/>
  <c r="E91" i="7" l="1"/>
  <c r="F90" i="7"/>
  <c r="G90" i="7" s="1"/>
  <c r="F91" i="7" l="1"/>
  <c r="G91" i="7" s="1"/>
  <c r="E92" i="7"/>
  <c r="E93" i="7" l="1"/>
  <c r="F92" i="7"/>
  <c r="G92" i="7" s="1"/>
  <c r="E94" i="7" l="1"/>
  <c r="F93" i="7"/>
  <c r="G93" i="7" s="1"/>
  <c r="E95" i="7" l="1"/>
  <c r="F94" i="7"/>
  <c r="G94" i="7" s="1"/>
  <c r="F95" i="7" l="1"/>
  <c r="G95" i="7" s="1"/>
  <c r="E96" i="7"/>
  <c r="E97" i="7" l="1"/>
  <c r="F96" i="7"/>
  <c r="G96" i="7" s="1"/>
  <c r="E98" i="7" l="1"/>
  <c r="F97" i="7"/>
  <c r="G97" i="7" s="1"/>
  <c r="E99" i="7" l="1"/>
  <c r="F98" i="7"/>
  <c r="G98" i="7" s="1"/>
  <c r="F99" i="7" l="1"/>
  <c r="G99" i="7" s="1"/>
  <c r="E100" i="7"/>
  <c r="E101" i="7" l="1"/>
  <c r="F100" i="7"/>
  <c r="G100" i="7" s="1"/>
  <c r="E102" i="7" l="1"/>
  <c r="F101" i="7"/>
  <c r="G101" i="7" s="1"/>
  <c r="E103" i="7" l="1"/>
  <c r="F102" i="7"/>
  <c r="G102" i="7" s="1"/>
  <c r="F103" i="7" l="1"/>
  <c r="G103" i="7" s="1"/>
  <c r="E104" i="7"/>
  <c r="E105" i="7" l="1"/>
  <c r="F104" i="7"/>
  <c r="G104" i="7" s="1"/>
  <c r="E106" i="7" l="1"/>
  <c r="F105" i="7"/>
  <c r="G105" i="7" s="1"/>
  <c r="E107" i="7" l="1"/>
  <c r="F106" i="7"/>
  <c r="G106" i="7" s="1"/>
  <c r="F107" i="7" l="1"/>
  <c r="G107" i="7" s="1"/>
  <c r="E108" i="7"/>
  <c r="E109" i="7" l="1"/>
  <c r="F108" i="7"/>
  <c r="G108" i="7" s="1"/>
  <c r="E110" i="7" l="1"/>
  <c r="F109" i="7"/>
  <c r="G109" i="7" s="1"/>
  <c r="E111" i="7" l="1"/>
  <c r="F110" i="7"/>
  <c r="G110" i="7" s="1"/>
  <c r="F111" i="7" l="1"/>
  <c r="G111" i="7" s="1"/>
  <c r="E112" i="7"/>
  <c r="E113" i="7" l="1"/>
  <c r="F112" i="7"/>
  <c r="G112" i="7" s="1"/>
  <c r="E114" i="7" l="1"/>
  <c r="F113" i="7"/>
  <c r="G113" i="7" s="1"/>
  <c r="E115" i="7" l="1"/>
  <c r="F114" i="7"/>
  <c r="G114" i="7" s="1"/>
  <c r="F115" i="7" l="1"/>
  <c r="G115" i="7" s="1"/>
  <c r="E116" i="7"/>
  <c r="E117" i="7" l="1"/>
  <c r="F116" i="7"/>
  <c r="G116" i="7" s="1"/>
  <c r="E118" i="7" l="1"/>
  <c r="F117" i="7"/>
  <c r="G117" i="7" s="1"/>
  <c r="E119" i="7" l="1"/>
  <c r="F118" i="7"/>
  <c r="G118" i="7" s="1"/>
  <c r="F119" i="7" l="1"/>
  <c r="G119" i="7" s="1"/>
  <c r="E120" i="7"/>
  <c r="E121" i="7" l="1"/>
  <c r="F120" i="7"/>
  <c r="G120" i="7" s="1"/>
  <c r="E122" i="7" l="1"/>
  <c r="F121" i="7"/>
  <c r="G121" i="7" s="1"/>
  <c r="E123" i="7" l="1"/>
  <c r="F122" i="7"/>
  <c r="G122" i="7" s="1"/>
  <c r="F123" i="7" l="1"/>
  <c r="G123" i="7" s="1"/>
  <c r="E124" i="7"/>
  <c r="E125" i="7" l="1"/>
  <c r="F124" i="7"/>
  <c r="G124" i="7" s="1"/>
  <c r="E126" i="7" l="1"/>
  <c r="F125" i="7"/>
  <c r="G125" i="7" s="1"/>
  <c r="E127" i="7" l="1"/>
  <c r="F126" i="7"/>
  <c r="G126" i="7" s="1"/>
  <c r="F127" i="7" l="1"/>
  <c r="G127" i="7" s="1"/>
  <c r="E128" i="7"/>
  <c r="E129" i="7" l="1"/>
  <c r="F128" i="7"/>
  <c r="G128" i="7" s="1"/>
  <c r="E130" i="7" l="1"/>
  <c r="F129" i="7"/>
  <c r="G129" i="7" s="1"/>
  <c r="E131" i="7" l="1"/>
  <c r="F130" i="7"/>
  <c r="G130" i="7" s="1"/>
  <c r="F131" i="7" l="1"/>
  <c r="G131" i="7" s="1"/>
  <c r="E132" i="7"/>
  <c r="E133" i="7" l="1"/>
  <c r="F132" i="7"/>
  <c r="G132" i="7" s="1"/>
  <c r="E134" i="7" l="1"/>
  <c r="F133" i="7"/>
  <c r="G133" i="7" s="1"/>
  <c r="E135" i="7" l="1"/>
  <c r="F134" i="7"/>
  <c r="G134" i="7" s="1"/>
  <c r="F135" i="7" l="1"/>
  <c r="G135" i="7" s="1"/>
  <c r="E136" i="7"/>
  <c r="E137" i="7" l="1"/>
  <c r="F136" i="7"/>
  <c r="G136" i="7" s="1"/>
  <c r="E138" i="7" l="1"/>
  <c r="F137" i="7"/>
  <c r="G137" i="7" s="1"/>
  <c r="E139" i="7" l="1"/>
  <c r="F138" i="7"/>
  <c r="G138" i="7" s="1"/>
  <c r="F139" i="7" l="1"/>
  <c r="G139" i="7" s="1"/>
  <c r="E140" i="7"/>
  <c r="E141" i="7" l="1"/>
  <c r="F140" i="7"/>
  <c r="G140" i="7" s="1"/>
  <c r="E142" i="7" l="1"/>
  <c r="F141" i="7"/>
  <c r="G141" i="7" s="1"/>
  <c r="E143" i="7" l="1"/>
  <c r="F142" i="7"/>
  <c r="G142" i="7" s="1"/>
  <c r="F143" i="7" l="1"/>
  <c r="G143" i="7" s="1"/>
  <c r="E144" i="7"/>
  <c r="E145" i="7" l="1"/>
  <c r="F144" i="7"/>
  <c r="G144" i="7" s="1"/>
  <c r="E146" i="7" l="1"/>
  <c r="F145" i="7"/>
  <c r="G145" i="7" s="1"/>
  <c r="E147" i="7" l="1"/>
  <c r="F146" i="7"/>
  <c r="G146" i="7" s="1"/>
  <c r="F147" i="7" l="1"/>
  <c r="G147" i="7" s="1"/>
  <c r="E148" i="7"/>
  <c r="E149" i="7" l="1"/>
  <c r="F148" i="7"/>
  <c r="G148" i="7" s="1"/>
  <c r="E150" i="7" l="1"/>
  <c r="F149" i="7"/>
  <c r="G149" i="7" s="1"/>
  <c r="E151" i="7" l="1"/>
  <c r="F150" i="7"/>
  <c r="G150" i="7" s="1"/>
  <c r="F151" i="7" l="1"/>
  <c r="G151" i="7" s="1"/>
  <c r="E152" i="7"/>
  <c r="E153" i="7" l="1"/>
  <c r="F152" i="7"/>
  <c r="G152" i="7" s="1"/>
  <c r="E154" i="7" l="1"/>
  <c r="F153" i="7"/>
  <c r="G153" i="7" s="1"/>
  <c r="E155" i="7" l="1"/>
  <c r="F154" i="7"/>
  <c r="G154" i="7" s="1"/>
  <c r="F155" i="7" l="1"/>
  <c r="G155" i="7" s="1"/>
  <c r="E156" i="7"/>
  <c r="E157" i="7" l="1"/>
  <c r="F156" i="7"/>
  <c r="G156" i="7" s="1"/>
  <c r="E158" i="7" l="1"/>
  <c r="F157" i="7"/>
  <c r="G157" i="7" s="1"/>
  <c r="E159" i="7" l="1"/>
  <c r="F158" i="7"/>
  <c r="G158" i="7" s="1"/>
  <c r="F159" i="7" l="1"/>
  <c r="G159" i="7" s="1"/>
  <c r="E160" i="7"/>
  <c r="E161" i="7" l="1"/>
  <c r="F160" i="7"/>
  <c r="G160" i="7" s="1"/>
  <c r="E162" i="7" l="1"/>
  <c r="F161" i="7"/>
  <c r="G161" i="7" s="1"/>
  <c r="E163" i="7" l="1"/>
  <c r="F162" i="7"/>
  <c r="G162" i="7" s="1"/>
  <c r="F163" i="7" l="1"/>
  <c r="G163" i="7" s="1"/>
  <c r="E164" i="7"/>
  <c r="E165" i="7" l="1"/>
  <c r="F164" i="7"/>
  <c r="G164" i="7" s="1"/>
  <c r="E166" i="7" l="1"/>
  <c r="F165" i="7"/>
  <c r="G165" i="7" s="1"/>
  <c r="E167" i="7" l="1"/>
  <c r="F166" i="7"/>
  <c r="G166" i="7" s="1"/>
  <c r="F167" i="7" l="1"/>
  <c r="G167" i="7" s="1"/>
  <c r="E168" i="7"/>
  <c r="E169" i="7" l="1"/>
  <c r="F168" i="7"/>
  <c r="G168" i="7" s="1"/>
  <c r="E170" i="7" l="1"/>
  <c r="F169" i="7"/>
  <c r="G169" i="7" s="1"/>
  <c r="E171" i="7" l="1"/>
  <c r="F170" i="7"/>
  <c r="G170" i="7" s="1"/>
  <c r="F171" i="7" l="1"/>
  <c r="G171" i="7" s="1"/>
  <c r="E172" i="7"/>
  <c r="E173" i="7" l="1"/>
  <c r="F172" i="7"/>
  <c r="G172" i="7" s="1"/>
  <c r="E174" i="7" l="1"/>
  <c r="F173" i="7"/>
  <c r="G173" i="7" s="1"/>
  <c r="E175" i="7" l="1"/>
  <c r="F174" i="7"/>
  <c r="G174" i="7" s="1"/>
  <c r="F175" i="7" l="1"/>
  <c r="G175" i="7" s="1"/>
  <c r="E176" i="7"/>
  <c r="E177" i="7" l="1"/>
  <c r="F176" i="7"/>
  <c r="G176" i="7" s="1"/>
  <c r="E178" i="7" l="1"/>
  <c r="F177" i="7"/>
  <c r="G177" i="7" s="1"/>
  <c r="E179" i="7" l="1"/>
  <c r="F178" i="7"/>
  <c r="G178" i="7" s="1"/>
  <c r="F179" i="7" l="1"/>
  <c r="G179" i="7" s="1"/>
  <c r="E180" i="7"/>
  <c r="E181" i="7" l="1"/>
  <c r="F180" i="7"/>
  <c r="G180" i="7" s="1"/>
  <c r="E182" i="7" l="1"/>
  <c r="F181" i="7"/>
  <c r="G181" i="7" s="1"/>
  <c r="E183" i="7" l="1"/>
  <c r="F182" i="7"/>
  <c r="G182" i="7" s="1"/>
  <c r="F183" i="7" l="1"/>
  <c r="G183" i="7" s="1"/>
  <c r="E184" i="7"/>
  <c r="E185" i="7" l="1"/>
  <c r="F184" i="7"/>
  <c r="G184" i="7" s="1"/>
  <c r="E186" i="7" l="1"/>
  <c r="F185" i="7"/>
  <c r="G185" i="7" s="1"/>
  <c r="E187" i="7" l="1"/>
  <c r="F186" i="7"/>
  <c r="G186" i="7" s="1"/>
  <c r="F187" i="7" l="1"/>
  <c r="G187" i="7" s="1"/>
  <c r="E188" i="7"/>
  <c r="E189" i="7" l="1"/>
  <c r="F188" i="7"/>
  <c r="G188" i="7" s="1"/>
  <c r="E190" i="7" l="1"/>
  <c r="F189" i="7"/>
  <c r="G189" i="7" s="1"/>
  <c r="E191" i="7" l="1"/>
  <c r="F190" i="7"/>
  <c r="G190" i="7" s="1"/>
  <c r="F191" i="7" l="1"/>
  <c r="G191" i="7" s="1"/>
  <c r="E192" i="7"/>
  <c r="E193" i="7" l="1"/>
  <c r="F192" i="7"/>
  <c r="G192" i="7" s="1"/>
  <c r="E194" i="7" l="1"/>
  <c r="F193" i="7"/>
  <c r="G193" i="7" s="1"/>
  <c r="E195" i="7" l="1"/>
  <c r="F194" i="7"/>
  <c r="G194" i="7" s="1"/>
  <c r="F195" i="7" l="1"/>
  <c r="G195" i="7" s="1"/>
  <c r="E196" i="7"/>
  <c r="E197" i="7" l="1"/>
  <c r="F196" i="7"/>
  <c r="G196" i="7" s="1"/>
  <c r="E198" i="7" l="1"/>
  <c r="F197" i="7"/>
  <c r="G197" i="7" s="1"/>
  <c r="E199" i="7" l="1"/>
  <c r="F198" i="7"/>
  <c r="G198" i="7" s="1"/>
  <c r="F199" i="7" l="1"/>
  <c r="G199" i="7" s="1"/>
  <c r="E200" i="7"/>
  <c r="E201" i="7" l="1"/>
  <c r="F200" i="7"/>
  <c r="G200" i="7" s="1"/>
  <c r="E202" i="7" l="1"/>
  <c r="F201" i="7"/>
  <c r="G201" i="7" s="1"/>
  <c r="E203" i="7" l="1"/>
  <c r="F203" i="7" s="1"/>
  <c r="G203" i="7" s="1"/>
  <c r="F202" i="7"/>
  <c r="G202" i="7" s="1"/>
</calcChain>
</file>

<file path=xl/sharedStrings.xml><?xml version="1.0" encoding="utf-8"?>
<sst xmlns="http://schemas.openxmlformats.org/spreadsheetml/2006/main" count="66" uniqueCount="60">
  <si>
    <t>User's Guide</t>
  </si>
  <si>
    <t>Group Components:</t>
  </si>
  <si>
    <t>BOUSSOUF Ilyès</t>
  </si>
  <si>
    <t>DA SILVA ARAUJO JUNIOR Jardiel</t>
  </si>
  <si>
    <t>BUDUREEA Nabiil</t>
  </si>
  <si>
    <t>CHEN Huifen</t>
  </si>
  <si>
    <t>https://github.com/jardieljr/derivatives</t>
  </si>
  <si>
    <t>This worksheet aims to calculate options prices and payoffs. The methods chosen in order to compute it were the following:</t>
  </si>
  <si>
    <t>- Binomial</t>
  </si>
  <si>
    <t>- Black &amp; Scholes</t>
  </si>
  <si>
    <t>Option Inputs</t>
  </si>
  <si>
    <t>Type</t>
  </si>
  <si>
    <t>Put</t>
  </si>
  <si>
    <t>Stock's Price</t>
  </si>
  <si>
    <t>Exercise</t>
  </si>
  <si>
    <t>Rate</t>
  </si>
  <si>
    <t>Volatility</t>
  </si>
  <si>
    <t>Time (year fraction)</t>
  </si>
  <si>
    <t>Stock Expected Return</t>
  </si>
  <si>
    <t>Dividend Rate</t>
  </si>
  <si>
    <t>Number of  Periods (Binomial Model)</t>
  </si>
  <si>
    <t>EUROPEAN OPTION - BINOMIAL MODEL</t>
  </si>
  <si>
    <t>Parameters calculation</t>
  </si>
  <si>
    <t>Option Price</t>
  </si>
  <si>
    <t>Up-Factor (per step)</t>
  </si>
  <si>
    <t>Risk-free rate (per Step)</t>
  </si>
  <si>
    <t>Down-Factor (per step)</t>
  </si>
  <si>
    <t>Risk-neutral probability</t>
  </si>
  <si>
    <t>Share Price Evolution in Time</t>
  </si>
  <si>
    <t>Trading Price</t>
  </si>
  <si>
    <t>Option Premium Evolution in Time</t>
  </si>
  <si>
    <t>Option Price - Call</t>
  </si>
  <si>
    <t>Option Price - Put</t>
  </si>
  <si>
    <t>EUROPEAN OPTION - B&amp;S MODEL</t>
  </si>
  <si>
    <t>Results</t>
  </si>
  <si>
    <t xml:space="preserve">     </t>
  </si>
  <si>
    <t>d_1</t>
  </si>
  <si>
    <t>d_2</t>
  </si>
  <si>
    <t>Nd_1</t>
  </si>
  <si>
    <t>Nd_2</t>
  </si>
  <si>
    <t>Nminusd_1</t>
  </si>
  <si>
    <t>Nminusd_2</t>
  </si>
  <si>
    <t>Call</t>
  </si>
  <si>
    <t>Options' Price</t>
  </si>
  <si>
    <t>VBA Black and Scholes Model</t>
  </si>
  <si>
    <t>Checking if the models (excel and VBA) have the same result</t>
  </si>
  <si>
    <t>Dividends</t>
  </si>
  <si>
    <t>Year</t>
  </si>
  <si>
    <t>Close</t>
  </si>
  <si>
    <t>Dividends (%)</t>
  </si>
  <si>
    <t>type_options_list</t>
  </si>
  <si>
    <t>Price</t>
  </si>
  <si>
    <t>Payoff</t>
  </si>
  <si>
    <t>Check</t>
  </si>
  <si>
    <t>Expected Returns</t>
  </si>
  <si>
    <t>Date</t>
  </si>
  <si>
    <t>Returns</t>
  </si>
  <si>
    <t>Yearly Returns</t>
  </si>
  <si>
    <t>Average</t>
  </si>
  <si>
    <t>Hedge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</si>
</sst>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409]* #,##0.00_ ;_-[$$-409]* \-#,##0.00\ ;_-[$$-409]* &quot;-&quot;??_ ;_-@_ "/>
    <numFmt numFmtId="165" formatCode="0.000%"/>
    <numFmt numFmtId="166" formatCode="_-[$$-409]* #,##0.0000_ ;_-[$$-409]* \-#,##0.0000\ ;_-[$$-409]* &quot;-&quot;????_ ;_-@_ "/>
    <numFmt numFmtId="167" formatCode="0.0000"/>
    <numFmt numFmtId="168" formatCode="0.000"/>
    <numFmt numFmtId="169" formatCode="_([$$-409]* #,##0.00_);_([$$-409]* \(#,##0.00\);_([$$-409]* &quot;-&quot;??_);_(@_)"/>
  </numFmts>
  <fonts count="26" x14ac:knownFonts="1">
    <font>
      <sz val="11"/>
      <color theme="1"/>
      <name val="Arial"/>
    </font>
    <font>
      <sz val="48"/>
      <color theme="1"/>
      <name val="Calibri"/>
      <family val="2"/>
    </font>
    <font>
      <sz val="11"/>
      <name val="Arial"/>
      <family val="2"/>
    </font>
    <font>
      <sz val="12"/>
      <color theme="1"/>
      <name val="Calibri"/>
      <family val="2"/>
    </font>
    <font>
      <u/>
      <sz val="11"/>
      <color theme="10"/>
      <name val="Arial"/>
      <family val="2"/>
    </font>
    <font>
      <b/>
      <sz val="14"/>
      <color theme="1"/>
      <name val="Calibri"/>
      <family val="2"/>
    </font>
    <font>
      <sz val="14"/>
      <color theme="1"/>
      <name val="Calibri"/>
      <family val="2"/>
    </font>
    <font>
      <sz val="13"/>
      <color theme="1"/>
      <name val="Calibri"/>
      <family val="2"/>
    </font>
    <font>
      <i/>
      <sz val="11"/>
      <color theme="1"/>
      <name val="Arial"/>
      <family val="2"/>
    </font>
    <font>
      <b/>
      <sz val="11"/>
      <color theme="1"/>
      <name val="Calibri"/>
      <family val="2"/>
    </font>
    <font>
      <sz val="11"/>
      <color rgb="FF3F3F76"/>
      <name val="Calibri"/>
      <family val="2"/>
    </font>
    <font>
      <sz val="11"/>
      <color theme="1"/>
      <name val="Calibri"/>
      <family val="2"/>
    </font>
    <font>
      <b/>
      <sz val="40"/>
      <color theme="1"/>
      <name val="Calibri"/>
      <family val="2"/>
    </font>
    <font>
      <sz val="20"/>
      <color theme="1"/>
      <name val="Calibri"/>
      <family val="2"/>
    </font>
    <font>
      <b/>
      <i/>
      <sz val="11"/>
      <color theme="1"/>
      <name val="Calibri"/>
      <family val="2"/>
    </font>
    <font>
      <b/>
      <sz val="12"/>
      <color theme="1"/>
      <name val="Arial"/>
      <family val="2"/>
    </font>
    <font>
      <b/>
      <sz val="20"/>
      <color theme="1"/>
      <name val="Calibri"/>
      <family val="2"/>
    </font>
    <font>
      <b/>
      <i/>
      <sz val="11"/>
      <color theme="1"/>
      <name val="Arial"/>
      <family val="2"/>
    </font>
    <font>
      <b/>
      <sz val="11"/>
      <color theme="1"/>
      <name val="Arial"/>
      <family val="2"/>
    </font>
    <font>
      <sz val="11"/>
      <color rgb="FF375F91"/>
      <name val="Calibri"/>
      <family val="2"/>
    </font>
    <font>
      <b/>
      <sz val="11"/>
      <color rgb="FFFA7D00"/>
      <name val="Calibri"/>
      <family val="2"/>
    </font>
    <font>
      <sz val="11"/>
      <color theme="1"/>
      <name val="Arial"/>
      <family val="2"/>
    </font>
    <font>
      <sz val="11"/>
      <color rgb="FF000000"/>
      <name val="Arial"/>
      <family val="2"/>
    </font>
    <font>
      <sz val="11"/>
      <color theme="1"/>
      <name val="Arial"/>
      <family val="2"/>
    </font>
    <font>
      <sz val="12"/>
      <name val="Calibri"/>
      <family val="2"/>
    </font>
    <font>
      <sz val="16"/>
      <color theme="1"/>
      <name val="Arial"/>
      <family val="2"/>
    </font>
  </fonts>
  <fills count="13">
    <fill>
      <patternFill patternType="none"/>
    </fill>
    <fill>
      <patternFill patternType="gray125"/>
    </fill>
    <fill>
      <patternFill patternType="solid">
        <fgColor rgb="FFD6DCE4"/>
        <bgColor rgb="FFD6DCE4"/>
      </patternFill>
    </fill>
    <fill>
      <patternFill patternType="solid">
        <fgColor rgb="FFFFCC99"/>
        <bgColor rgb="FFFFCC99"/>
      </patternFill>
    </fill>
    <fill>
      <patternFill patternType="solid">
        <fgColor rgb="FFB4C6E7"/>
        <bgColor rgb="FFB4C6E7"/>
      </patternFill>
    </fill>
    <fill>
      <patternFill patternType="solid">
        <fgColor rgb="FFFFC000"/>
        <bgColor rgb="FFFFC000"/>
      </patternFill>
    </fill>
    <fill>
      <patternFill patternType="solid">
        <fgColor rgb="FFF2F2F2"/>
        <bgColor rgb="FFF2F2F2"/>
      </patternFill>
    </fill>
    <fill>
      <patternFill patternType="solid">
        <fgColor theme="0"/>
        <bgColor theme="0"/>
      </patternFill>
    </fill>
    <fill>
      <patternFill patternType="solid">
        <fgColor rgb="FFD0CECE"/>
        <bgColor rgb="FFD0CECE"/>
      </patternFill>
    </fill>
    <fill>
      <patternFill patternType="solid">
        <fgColor rgb="FFF4B083"/>
        <bgColor rgb="FFF4B083"/>
      </patternFill>
    </fill>
    <fill>
      <patternFill patternType="solid">
        <fgColor rgb="FFD8D8D8"/>
        <bgColor rgb="FFD8D8D8"/>
      </patternFill>
    </fill>
    <fill>
      <patternFill patternType="solid">
        <fgColor rgb="FF8EAADB"/>
        <bgColor rgb="FF8EAADB"/>
      </patternFill>
    </fill>
    <fill>
      <patternFill patternType="solid">
        <fgColor theme="2" tint="-0.14999847407452621"/>
        <bgColor indexed="64"/>
      </patternFill>
    </fill>
  </fills>
  <borders count="35">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thin">
        <color rgb="FF375F91"/>
      </left>
      <right/>
      <top style="thin">
        <color rgb="FF375F91"/>
      </top>
      <bottom/>
      <diagonal/>
    </border>
    <border>
      <left/>
      <right/>
      <top style="thin">
        <color rgb="FF375F91"/>
      </top>
      <bottom/>
      <diagonal/>
    </border>
    <border>
      <left/>
      <right style="thin">
        <color rgb="FF375F91"/>
      </right>
      <top style="thin">
        <color rgb="FF375F91"/>
      </top>
      <bottom/>
      <diagonal/>
    </border>
    <border>
      <left/>
      <right/>
      <top/>
      <bottom/>
      <diagonal/>
    </border>
    <border>
      <left style="thin">
        <color rgb="FF375F91"/>
      </left>
      <right/>
      <top/>
      <bottom/>
      <diagonal/>
    </border>
    <border>
      <left/>
      <right style="thin">
        <color rgb="FF7F7F7F"/>
      </right>
      <top style="thin">
        <color rgb="FF7F7F7F"/>
      </top>
      <bottom style="thin">
        <color rgb="FF7F7F7F"/>
      </bottom>
      <diagonal/>
    </border>
    <border>
      <left/>
      <right style="thin">
        <color rgb="FF375F91"/>
      </right>
      <top/>
      <bottom/>
      <diagonal/>
    </border>
    <border>
      <left/>
      <right style="thin">
        <color rgb="FF7F7F7F"/>
      </right>
      <top style="thin">
        <color rgb="FF7F7F7F"/>
      </top>
      <bottom/>
      <diagonal/>
    </border>
    <border>
      <left style="thin">
        <color rgb="FF375F91"/>
      </left>
      <right/>
      <top/>
      <bottom style="thin">
        <color rgb="FF375F91"/>
      </bottom>
      <diagonal/>
    </border>
    <border>
      <left style="thin">
        <color rgb="FF000000"/>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style="thin">
        <color rgb="FF375F91"/>
      </right>
      <top/>
      <bottom style="thin">
        <color rgb="FF375F91"/>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23" fillId="0" borderId="0" applyFont="0" applyFill="0" applyBorder="0" applyAlignment="0" applyProtection="0"/>
  </cellStyleXfs>
  <cellXfs count="95">
    <xf numFmtId="0" fontId="0" fillId="0" borderId="0" xfId="0" applyFont="1" applyAlignme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0" fillId="0" borderId="0" xfId="0" applyFont="1"/>
    <xf numFmtId="0" fontId="9" fillId="2" borderId="11" xfId="0" applyFont="1" applyFill="1" applyBorder="1"/>
    <xf numFmtId="2" fontId="10" fillId="3" borderId="11" xfId="0" applyNumberFormat="1" applyFont="1" applyFill="1" applyBorder="1" applyAlignment="1">
      <alignment horizontal="center"/>
    </xf>
    <xf numFmtId="0" fontId="9" fillId="2" borderId="12" xfId="0" applyFont="1" applyFill="1" applyBorder="1"/>
    <xf numFmtId="164" fontId="10" fillId="3" borderId="12" xfId="0" applyNumberFormat="1" applyFont="1" applyFill="1" applyBorder="1" applyAlignment="1">
      <alignment horizontal="center"/>
    </xf>
    <xf numFmtId="10" fontId="10" fillId="3" borderId="12" xfId="0" applyNumberFormat="1" applyFont="1" applyFill="1" applyBorder="1" applyAlignment="1">
      <alignment horizontal="center"/>
    </xf>
    <xf numFmtId="4" fontId="10" fillId="3" borderId="12" xfId="0" applyNumberFormat="1" applyFont="1" applyFill="1" applyBorder="1" applyAlignment="1">
      <alignment horizontal="center"/>
    </xf>
    <xf numFmtId="0" fontId="11" fillId="0" borderId="0" xfId="0" applyFont="1"/>
    <xf numFmtId="165" fontId="10" fillId="3" borderId="12" xfId="0" applyNumberFormat="1" applyFont="1" applyFill="1" applyBorder="1" applyAlignment="1">
      <alignment horizontal="center"/>
    </xf>
    <xf numFmtId="3" fontId="10" fillId="3" borderId="13"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13" fillId="0" borderId="0" xfId="0" applyFont="1"/>
    <xf numFmtId="0" fontId="14" fillId="4" borderId="12" xfId="0" applyFont="1" applyFill="1" applyBorder="1"/>
    <xf numFmtId="0" fontId="15" fillId="5" borderId="14" xfId="0" applyFont="1" applyFill="1" applyBorder="1"/>
    <xf numFmtId="166" fontId="15" fillId="6" borderId="15" xfId="0" applyNumberFormat="1" applyFont="1" applyFill="1" applyBorder="1"/>
    <xf numFmtId="0" fontId="9" fillId="6" borderId="12" xfId="0" applyFont="1" applyFill="1" applyBorder="1"/>
    <xf numFmtId="0" fontId="0" fillId="0" borderId="12" xfId="0" applyFont="1" applyBorder="1"/>
    <xf numFmtId="0" fontId="9" fillId="0" borderId="12" xfId="0" applyFont="1" applyBorder="1"/>
    <xf numFmtId="0" fontId="16" fillId="0" borderId="0" xfId="0" applyFont="1"/>
    <xf numFmtId="164" fontId="0" fillId="0" borderId="0" xfId="0" applyNumberFormat="1" applyFont="1"/>
    <xf numFmtId="164" fontId="9" fillId="0" borderId="12" xfId="0" applyNumberFormat="1" applyFont="1" applyBorder="1"/>
    <xf numFmtId="164" fontId="0" fillId="0" borderId="12" xfId="0" applyNumberFormat="1" applyFont="1" applyBorder="1"/>
    <xf numFmtId="164" fontId="9" fillId="0" borderId="0" xfId="0" applyNumberFormat="1" applyFont="1"/>
    <xf numFmtId="164" fontId="16" fillId="0" borderId="0" xfId="0" applyNumberFormat="1" applyFont="1"/>
    <xf numFmtId="164" fontId="17" fillId="0" borderId="0" xfId="0" applyNumberFormat="1" applyFont="1"/>
    <xf numFmtId="164" fontId="18" fillId="5" borderId="12" xfId="0" applyNumberFormat="1" applyFont="1" applyFill="1" applyBorder="1"/>
    <xf numFmtId="0" fontId="11" fillId="7" borderId="17" xfId="0" applyFont="1" applyFill="1" applyBorder="1"/>
    <xf numFmtId="0" fontId="11" fillId="7" borderId="18" xfId="0" applyFont="1" applyFill="1" applyBorder="1"/>
    <xf numFmtId="0" fontId="11" fillId="7" borderId="19" xfId="0" applyFont="1" applyFill="1" applyBorder="1"/>
    <xf numFmtId="0" fontId="19" fillId="7" borderId="20" xfId="0" applyFont="1" applyFill="1" applyBorder="1"/>
    <xf numFmtId="0" fontId="11" fillId="7" borderId="20" xfId="0" applyFont="1" applyFill="1" applyBorder="1"/>
    <xf numFmtId="0" fontId="11" fillId="7" borderId="21" xfId="0" applyFont="1" applyFill="1" applyBorder="1"/>
    <xf numFmtId="167" fontId="9" fillId="7" borderId="22" xfId="0" applyNumberFormat="1" applyFont="1" applyFill="1" applyBorder="1"/>
    <xf numFmtId="0" fontId="11" fillId="7" borderId="23" xfId="0" applyFont="1" applyFill="1" applyBorder="1"/>
    <xf numFmtId="0" fontId="11" fillId="8" borderId="12" xfId="0" applyFont="1" applyFill="1" applyBorder="1"/>
    <xf numFmtId="0" fontId="9" fillId="9" borderId="12" xfId="0" applyFont="1" applyFill="1" applyBorder="1"/>
    <xf numFmtId="168" fontId="20" fillId="6" borderId="22" xfId="0" applyNumberFormat="1" applyFont="1" applyFill="1" applyBorder="1"/>
    <xf numFmtId="168" fontId="20" fillId="6" borderId="24" xfId="0" applyNumberFormat="1" applyFont="1" applyFill="1" applyBorder="1"/>
    <xf numFmtId="0" fontId="11" fillId="7" borderId="25" xfId="0" applyFont="1" applyFill="1" applyBorder="1"/>
    <xf numFmtId="0" fontId="9" fillId="5" borderId="26" xfId="0" applyFont="1" applyFill="1" applyBorder="1"/>
    <xf numFmtId="168" fontId="9" fillId="10" borderId="27" xfId="0" applyNumberFormat="1" applyFont="1" applyFill="1" applyBorder="1"/>
    <xf numFmtId="0" fontId="11" fillId="7" borderId="28" xfId="0" applyFont="1" applyFill="1" applyBorder="1"/>
    <xf numFmtId="0" fontId="11" fillId="8" borderId="12" xfId="0" applyFont="1" applyFill="1" applyBorder="1" applyAlignment="1">
      <alignment vertical="center" wrapText="1"/>
    </xf>
    <xf numFmtId="0" fontId="9" fillId="11" borderId="26" xfId="0" applyFont="1" applyFill="1" applyBorder="1"/>
    <xf numFmtId="0" fontId="9" fillId="0" borderId="12" xfId="0" applyFont="1" applyBorder="1" applyAlignment="1">
      <alignment wrapText="1"/>
    </xf>
    <xf numFmtId="0" fontId="18" fillId="0" borderId="0" xfId="0" applyFont="1"/>
    <xf numFmtId="0" fontId="9" fillId="0" borderId="0" xfId="0" applyFont="1" applyAlignment="1">
      <alignment horizontal="center" vertical="top"/>
    </xf>
    <xf numFmtId="4" fontId="0" fillId="0" borderId="0" xfId="0" applyNumberFormat="1" applyFont="1"/>
    <xf numFmtId="10" fontId="0" fillId="0" borderId="0" xfId="0" applyNumberFormat="1" applyFont="1"/>
    <xf numFmtId="0" fontId="11" fillId="0" borderId="0" xfId="0" applyFont="1"/>
    <xf numFmtId="2" fontId="11" fillId="0" borderId="0" xfId="0" applyNumberFormat="1" applyFont="1"/>
    <xf numFmtId="164" fontId="11" fillId="0" borderId="0" xfId="0" applyNumberFormat="1" applyFont="1"/>
    <xf numFmtId="0" fontId="21" fillId="0" borderId="0" xfId="0" quotePrefix="1" applyFont="1"/>
    <xf numFmtId="0" fontId="21" fillId="0" borderId="0" xfId="0" applyFont="1"/>
    <xf numFmtId="0" fontId="0" fillId="0" borderId="0" xfId="0" applyFont="1" applyAlignment="1"/>
    <xf numFmtId="10" fontId="0" fillId="0" borderId="29" xfId="1" applyNumberFormat="1" applyFont="1" applyBorder="1" applyAlignment="1"/>
    <xf numFmtId="0" fontId="0" fillId="0" borderId="0" xfId="0"/>
    <xf numFmtId="14" fontId="0" fillId="0" borderId="0" xfId="0" applyNumberFormat="1"/>
    <xf numFmtId="10" fontId="0" fillId="0" borderId="0" xfId="1" applyNumberFormat="1" applyFont="1"/>
    <xf numFmtId="10" fontId="0" fillId="0" borderId="29" xfId="0" applyNumberFormat="1" applyBorder="1"/>
    <xf numFmtId="10" fontId="0" fillId="0" borderId="29" xfId="1" applyNumberFormat="1" applyFont="1" applyBorder="1"/>
    <xf numFmtId="0" fontId="1" fillId="0" borderId="1" xfId="0" applyFont="1" applyBorder="1" applyAlignment="1">
      <alignment horizontal="center" vertical="center" wrapText="1"/>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8" fillId="0" borderId="9" xfId="0" applyFont="1" applyBorder="1" applyAlignment="1">
      <alignment horizontal="center"/>
    </xf>
    <xf numFmtId="0" fontId="2" fillId="0" borderId="10" xfId="0" applyFont="1" applyBorder="1"/>
    <xf numFmtId="0" fontId="11" fillId="0" borderId="9" xfId="0" applyFont="1" applyBorder="1" applyAlignment="1">
      <alignment horizontal="center"/>
    </xf>
    <xf numFmtId="0" fontId="2" fillId="0" borderId="16" xfId="0" applyFont="1" applyBorder="1"/>
    <xf numFmtId="164" fontId="0" fillId="0" borderId="20" xfId="0" applyNumberFormat="1" applyFont="1" applyBorder="1"/>
    <xf numFmtId="164" fontId="0" fillId="0" borderId="30" xfId="0" applyNumberFormat="1" applyFont="1" applyBorder="1"/>
    <xf numFmtId="164" fontId="17" fillId="12" borderId="31" xfId="0" applyNumberFormat="1" applyFont="1" applyFill="1" applyBorder="1" applyAlignment="1">
      <alignment horizontal="center"/>
    </xf>
    <xf numFmtId="164" fontId="17" fillId="12" borderId="32" xfId="0" applyNumberFormat="1" applyFont="1" applyFill="1" applyBorder="1" applyAlignment="1">
      <alignment horizontal="center"/>
    </xf>
    <xf numFmtId="164" fontId="17" fillId="12" borderId="33" xfId="0" applyNumberFormat="1" applyFont="1" applyFill="1" applyBorder="1" applyAlignment="1">
      <alignment horizontal="center"/>
    </xf>
    <xf numFmtId="0" fontId="9" fillId="6" borderId="26" xfId="0" applyFont="1" applyFill="1" applyBorder="1"/>
    <xf numFmtId="0" fontId="0" fillId="0" borderId="30" xfId="0" applyFont="1" applyBorder="1"/>
    <xf numFmtId="0" fontId="0" fillId="0" borderId="34" xfId="0" applyFont="1" applyBorder="1"/>
    <xf numFmtId="0" fontId="25" fillId="0" borderId="0" xfId="0" applyFont="1"/>
    <xf numFmtId="169" fontId="0" fillId="0" borderId="0" xfId="0" applyNumberFormat="1" applyFont="1"/>
    <xf numFmtId="4" fontId="15" fillId="6" borderId="15" xfId="0" applyNumberFormat="1" applyFont="1" applyFill="1" applyBorder="1"/>
    <xf numFmtId="0" fontId="0" fillId="0" borderId="34" xfId="0" applyFont="1" applyBorder="1" applyAlignment="1">
      <alignment horizontal="center"/>
    </xf>
    <xf numFmtId="0" fontId="0" fillId="0" borderId="34" xfId="0" applyFont="1" applyBorder="1" applyAlignment="1"/>
    <xf numFmtId="10" fontId="18" fillId="0" borderId="0" xfId="1" applyNumberFormat="1" applyFont="1"/>
  </cellXfs>
  <cellStyles count="2">
    <cellStyle name="Normal" xfId="0" builtinId="0"/>
    <cellStyle name="Percent" xfId="1" builtinId="5"/>
  </cellStyles>
  <dxfs count="14">
    <dxf>
      <fill>
        <patternFill patternType="solid">
          <fgColor theme="9"/>
          <bgColor theme="9"/>
        </patternFill>
      </fill>
    </dxf>
    <dxf>
      <fill>
        <patternFill patternType="solid">
          <fgColor rgb="FFFF0000"/>
          <bgColor rgb="FFFF0000"/>
        </patternFill>
      </fill>
    </dxf>
    <dxf>
      <fill>
        <patternFill>
          <bgColor theme="9"/>
        </patternFill>
      </fill>
    </dxf>
    <dxf>
      <font>
        <b/>
      </font>
    </dxf>
    <dxf>
      <font>
        <b val="0"/>
        <i val="0"/>
        <strike val="0"/>
        <condense val="0"/>
        <extend val="0"/>
        <outline val="0"/>
        <shadow val="0"/>
        <u val="none"/>
        <vertAlign val="baseline"/>
        <sz val="11"/>
        <color theme="1"/>
        <name val="Arial"/>
        <scheme val="none"/>
      </font>
      <numFmt numFmtId="14" formatCode="0.00%"/>
    </dxf>
    <dxf>
      <font>
        <b val="0"/>
        <i val="0"/>
        <strike val="0"/>
        <condense val="0"/>
        <extend val="0"/>
        <outline val="0"/>
        <shadow val="0"/>
        <u val="none"/>
        <vertAlign val="baseline"/>
        <sz val="11"/>
        <color theme="1"/>
        <name val="Arial"/>
        <scheme val="none"/>
      </font>
      <numFmt numFmtId="14" formatCode="0.00%"/>
    </dxf>
    <dxf>
      <numFmt numFmtId="19" formatCode="dd/mm/yy"/>
    </dxf>
    <dxf>
      <numFmt numFmtId="14" formatCode="0.00%"/>
      <border diagonalUp="0" diagonalDown="0">
        <left style="medium">
          <color indexed="64"/>
        </left>
        <right style="medium">
          <color indexed="64"/>
        </right>
        <top style="medium">
          <color indexed="64"/>
        </top>
        <bottom style="medium">
          <color indexed="64"/>
        </bottom>
        <vertical/>
        <horizontal/>
      </border>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s>
  <tableStyles count="2">
    <tableStyle name="Market Data-style" pivot="0" count="3" xr9:uid="{00000000-0011-0000-FFFF-FFFF00000000}">
      <tableStyleElement type="headerRow" dxfId="13"/>
      <tableStyleElement type="firstRowStripe" dxfId="12"/>
      <tableStyleElement type="secondRowStripe" dxfId="11"/>
    </tableStyle>
    <tableStyle name="Aux-style" pivot="0" count="3" xr9:uid="{00000000-0011-0000-FFFF-FFFF01000000}">
      <tableStyleElement type="headerRow" dxfId="10"/>
      <tableStyleElement type="firstRowStripe" dxfId="9"/>
      <tableStyleElement type="second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12" Type="http://customschemas.google.com/relationships/workbookmetadata" Target="metadata"/><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Payoff Profile</a:t>
            </a:r>
          </a:p>
        </c:rich>
      </c:tx>
      <c:overlay val="0"/>
    </c:title>
    <c:autoTitleDeleted val="0"/>
    <c:plotArea>
      <c:layout>
        <c:manualLayout>
          <c:xMode val="edge"/>
          <c:yMode val="edge"/>
          <c:x val="0.13007796247691258"/>
          <c:y val="8.8836527509533011E-2"/>
          <c:w val="0.82943183953857602"/>
          <c:h val="0.80206626058535135"/>
        </c:manualLayout>
      </c:layout>
      <c:lineChart>
        <c:grouping val="standard"/>
        <c:varyColors val="0"/>
        <c:ser>
          <c:idx val="0"/>
          <c:order val="0"/>
          <c:tx>
            <c:v>Payoff</c:v>
          </c:tx>
          <c:spPr>
            <a:ln w="28575" cmpd="sng">
              <a:solidFill>
                <a:schemeClr val="accent1"/>
              </a:solidFill>
            </a:ln>
          </c:spPr>
          <c:marker>
            <c:symbol val="none"/>
          </c:marker>
          <c:cat>
            <c:numRef>
              <c:f>Aux!$F$3:$F$203</c:f>
              <c:numCache>
                <c:formatCode>0.00</c:formatCode>
                <c:ptCount val="201"/>
                <c:pt idx="0">
                  <c:v>0</c:v>
                </c:pt>
                <c:pt idx="1">
                  <c:v>1.0978000000000065</c:v>
                </c:pt>
                <c:pt idx="2">
                  <c:v>2.1955999999999989</c:v>
                </c:pt>
                <c:pt idx="3">
                  <c:v>3.2934000000000054</c:v>
                </c:pt>
                <c:pt idx="4">
                  <c:v>4.3911999999999978</c:v>
                </c:pt>
                <c:pt idx="5">
                  <c:v>5.4890000000000043</c:v>
                </c:pt>
                <c:pt idx="6">
                  <c:v>6.5868000000000109</c:v>
                </c:pt>
                <c:pt idx="7">
                  <c:v>7.684599999999989</c:v>
                </c:pt>
                <c:pt idx="8">
                  <c:v>8.7823999999999955</c:v>
                </c:pt>
                <c:pt idx="9">
                  <c:v>9.8802000000000021</c:v>
                </c:pt>
                <c:pt idx="10">
                  <c:v>10.977999999999994</c:v>
                </c:pt>
                <c:pt idx="11">
                  <c:v>12.075800000000001</c:v>
                </c:pt>
                <c:pt idx="12">
                  <c:v>13.173599999999993</c:v>
                </c:pt>
                <c:pt idx="13">
                  <c:v>14.2714</c:v>
                </c:pt>
                <c:pt idx="14">
                  <c:v>15.369200000000006</c:v>
                </c:pt>
                <c:pt idx="15">
                  <c:v>16.466999999999999</c:v>
                </c:pt>
                <c:pt idx="16">
                  <c:v>17.564800000000005</c:v>
                </c:pt>
                <c:pt idx="17">
                  <c:v>18.662599999999998</c:v>
                </c:pt>
                <c:pt idx="18">
                  <c:v>19.760400000000004</c:v>
                </c:pt>
                <c:pt idx="19">
                  <c:v>20.858199999999997</c:v>
                </c:pt>
                <c:pt idx="20">
                  <c:v>21.955999999999989</c:v>
                </c:pt>
                <c:pt idx="21">
                  <c:v>23.053799999999995</c:v>
                </c:pt>
                <c:pt idx="22">
                  <c:v>24.151600000000002</c:v>
                </c:pt>
                <c:pt idx="23">
                  <c:v>25.249399999999994</c:v>
                </c:pt>
                <c:pt idx="24">
                  <c:v>26.347200000000001</c:v>
                </c:pt>
                <c:pt idx="25">
                  <c:v>27.444999999999993</c:v>
                </c:pt>
                <c:pt idx="26">
                  <c:v>28.5428</c:v>
                </c:pt>
                <c:pt idx="27">
                  <c:v>29.640600000000006</c:v>
                </c:pt>
                <c:pt idx="28">
                  <c:v>30.738399999999999</c:v>
                </c:pt>
                <c:pt idx="29">
                  <c:v>31.836200000000005</c:v>
                </c:pt>
                <c:pt idx="30">
                  <c:v>32.934000000000012</c:v>
                </c:pt>
                <c:pt idx="31">
                  <c:v>34.031800000000004</c:v>
                </c:pt>
                <c:pt idx="32">
                  <c:v>35.129599999999996</c:v>
                </c:pt>
                <c:pt idx="33">
                  <c:v>36.227400000000003</c:v>
                </c:pt>
                <c:pt idx="34">
                  <c:v>37.325199999999995</c:v>
                </c:pt>
                <c:pt idx="35">
                  <c:v>38.423000000000002</c:v>
                </c:pt>
                <c:pt idx="36">
                  <c:v>39.520799999999994</c:v>
                </c:pt>
                <c:pt idx="37">
                  <c:v>40.618600000000001</c:v>
                </c:pt>
                <c:pt idx="38">
                  <c:v>41.716400000000007</c:v>
                </c:pt>
                <c:pt idx="39">
                  <c:v>42.8142</c:v>
                </c:pt>
                <c:pt idx="40">
                  <c:v>43.912000000000006</c:v>
                </c:pt>
                <c:pt idx="41">
                  <c:v>45.009799999999998</c:v>
                </c:pt>
                <c:pt idx="42">
                  <c:v>46.107600000000005</c:v>
                </c:pt>
                <c:pt idx="43">
                  <c:v>47.205400000000004</c:v>
                </c:pt>
                <c:pt idx="44">
                  <c:v>48.303199999999997</c:v>
                </c:pt>
                <c:pt idx="45">
                  <c:v>49.400999999999996</c:v>
                </c:pt>
                <c:pt idx="46">
                  <c:v>50.498799999999996</c:v>
                </c:pt>
                <c:pt idx="47">
                  <c:v>51.596599999999995</c:v>
                </c:pt>
                <c:pt idx="48">
                  <c:v>52.694400000000002</c:v>
                </c:pt>
                <c:pt idx="49">
                  <c:v>53.792200000000001</c:v>
                </c:pt>
                <c:pt idx="50">
                  <c:v>54.89</c:v>
                </c:pt>
                <c:pt idx="51">
                  <c:v>55.9878</c:v>
                </c:pt>
                <c:pt idx="52">
                  <c:v>57.085599999999999</c:v>
                </c:pt>
                <c:pt idx="53">
                  <c:v>58.183400000000006</c:v>
                </c:pt>
                <c:pt idx="54">
                  <c:v>59.281199999999998</c:v>
                </c:pt>
                <c:pt idx="55">
                  <c:v>60.378999999999998</c:v>
                </c:pt>
                <c:pt idx="56">
                  <c:v>61.476799999999997</c:v>
                </c:pt>
                <c:pt idx="57">
                  <c:v>62.574600000000004</c:v>
                </c:pt>
                <c:pt idx="58">
                  <c:v>63.672400000000003</c:v>
                </c:pt>
                <c:pt idx="59">
                  <c:v>64.770200000000003</c:v>
                </c:pt>
                <c:pt idx="60">
                  <c:v>65.867999999999995</c:v>
                </c:pt>
                <c:pt idx="61">
                  <c:v>66.965800000000002</c:v>
                </c:pt>
                <c:pt idx="62">
                  <c:v>68.063600000000008</c:v>
                </c:pt>
                <c:pt idx="63">
                  <c:v>69.1614</c:v>
                </c:pt>
                <c:pt idx="64">
                  <c:v>70.259199999999993</c:v>
                </c:pt>
                <c:pt idx="65">
                  <c:v>71.356999999999999</c:v>
                </c:pt>
                <c:pt idx="66">
                  <c:v>72.454800000000006</c:v>
                </c:pt>
                <c:pt idx="67">
                  <c:v>73.552599999999998</c:v>
                </c:pt>
                <c:pt idx="68">
                  <c:v>74.650399999999991</c:v>
                </c:pt>
                <c:pt idx="69">
                  <c:v>75.748199999999997</c:v>
                </c:pt>
                <c:pt idx="70">
                  <c:v>76.846000000000004</c:v>
                </c:pt>
                <c:pt idx="71">
                  <c:v>77.94380000000001</c:v>
                </c:pt>
                <c:pt idx="72">
                  <c:v>79.041600000000003</c:v>
                </c:pt>
                <c:pt idx="73">
                  <c:v>80.139399999999995</c:v>
                </c:pt>
                <c:pt idx="74">
                  <c:v>81.237200000000001</c:v>
                </c:pt>
                <c:pt idx="75">
                  <c:v>82.335000000000008</c:v>
                </c:pt>
                <c:pt idx="76">
                  <c:v>83.4328</c:v>
                </c:pt>
                <c:pt idx="77">
                  <c:v>84.530599999999993</c:v>
                </c:pt>
                <c:pt idx="78">
                  <c:v>85.628399999999999</c:v>
                </c:pt>
                <c:pt idx="79">
                  <c:v>86.726200000000006</c:v>
                </c:pt>
                <c:pt idx="80">
                  <c:v>87.823999999999998</c:v>
                </c:pt>
                <c:pt idx="81">
                  <c:v>88.921800000000005</c:v>
                </c:pt>
                <c:pt idx="82">
                  <c:v>90.019599999999997</c:v>
                </c:pt>
                <c:pt idx="83">
                  <c:v>91.117400000000004</c:v>
                </c:pt>
                <c:pt idx="84">
                  <c:v>92.215199999999996</c:v>
                </c:pt>
                <c:pt idx="85">
                  <c:v>93.313000000000002</c:v>
                </c:pt>
                <c:pt idx="86">
                  <c:v>94.410799999999995</c:v>
                </c:pt>
                <c:pt idx="87">
                  <c:v>95.508600000000001</c:v>
                </c:pt>
                <c:pt idx="88">
                  <c:v>96.606400000000008</c:v>
                </c:pt>
                <c:pt idx="89">
                  <c:v>97.7042</c:v>
                </c:pt>
                <c:pt idx="90">
                  <c:v>98.801999999999992</c:v>
                </c:pt>
                <c:pt idx="91">
                  <c:v>99.899799999999999</c:v>
                </c:pt>
                <c:pt idx="92">
                  <c:v>100.99760000000001</c:v>
                </c:pt>
                <c:pt idx="93">
                  <c:v>102.0954</c:v>
                </c:pt>
                <c:pt idx="94">
                  <c:v>103.1932</c:v>
                </c:pt>
                <c:pt idx="95">
                  <c:v>104.291</c:v>
                </c:pt>
                <c:pt idx="96">
                  <c:v>105.3888</c:v>
                </c:pt>
                <c:pt idx="97">
                  <c:v>106.4866</c:v>
                </c:pt>
                <c:pt idx="98">
                  <c:v>107.5844</c:v>
                </c:pt>
                <c:pt idx="99">
                  <c:v>108.68219999999999</c:v>
                </c:pt>
                <c:pt idx="100">
                  <c:v>109.78</c:v>
                </c:pt>
                <c:pt idx="101">
                  <c:v>110.87780000000001</c:v>
                </c:pt>
                <c:pt idx="102">
                  <c:v>111.9756</c:v>
                </c:pt>
                <c:pt idx="103">
                  <c:v>113.07340000000001</c:v>
                </c:pt>
                <c:pt idx="104">
                  <c:v>114.1712</c:v>
                </c:pt>
                <c:pt idx="105">
                  <c:v>115.26900000000001</c:v>
                </c:pt>
                <c:pt idx="106">
                  <c:v>116.3668</c:v>
                </c:pt>
                <c:pt idx="107">
                  <c:v>117.4646</c:v>
                </c:pt>
                <c:pt idx="108">
                  <c:v>118.5624</c:v>
                </c:pt>
                <c:pt idx="109">
                  <c:v>119.6602</c:v>
                </c:pt>
                <c:pt idx="110">
                  <c:v>120.75800000000001</c:v>
                </c:pt>
                <c:pt idx="111">
                  <c:v>121.8558</c:v>
                </c:pt>
                <c:pt idx="112">
                  <c:v>122.95359999999999</c:v>
                </c:pt>
                <c:pt idx="113">
                  <c:v>124.0514</c:v>
                </c:pt>
                <c:pt idx="114">
                  <c:v>125.14920000000001</c:v>
                </c:pt>
                <c:pt idx="115">
                  <c:v>126.247</c:v>
                </c:pt>
                <c:pt idx="116">
                  <c:v>127.34480000000001</c:v>
                </c:pt>
                <c:pt idx="117">
                  <c:v>128.4426</c:v>
                </c:pt>
                <c:pt idx="118">
                  <c:v>129.54040000000001</c:v>
                </c:pt>
                <c:pt idx="119">
                  <c:v>130.63820000000001</c:v>
                </c:pt>
                <c:pt idx="120">
                  <c:v>131.73599999999999</c:v>
                </c:pt>
                <c:pt idx="121">
                  <c:v>132.8338</c:v>
                </c:pt>
                <c:pt idx="122">
                  <c:v>133.9316</c:v>
                </c:pt>
                <c:pt idx="123">
                  <c:v>135.02940000000001</c:v>
                </c:pt>
                <c:pt idx="124">
                  <c:v>136.12720000000002</c:v>
                </c:pt>
                <c:pt idx="125">
                  <c:v>137.22499999999999</c:v>
                </c:pt>
                <c:pt idx="126">
                  <c:v>138.3228</c:v>
                </c:pt>
                <c:pt idx="127">
                  <c:v>139.42060000000001</c:v>
                </c:pt>
                <c:pt idx="128">
                  <c:v>140.51840000000001</c:v>
                </c:pt>
                <c:pt idx="129">
                  <c:v>141.61619999999999</c:v>
                </c:pt>
                <c:pt idx="130">
                  <c:v>142.714</c:v>
                </c:pt>
                <c:pt idx="131">
                  <c:v>143.81180000000001</c:v>
                </c:pt>
                <c:pt idx="132">
                  <c:v>144.90960000000001</c:v>
                </c:pt>
                <c:pt idx="133">
                  <c:v>146.00740000000002</c:v>
                </c:pt>
                <c:pt idx="134">
                  <c:v>147.1052</c:v>
                </c:pt>
                <c:pt idx="135">
                  <c:v>148.203</c:v>
                </c:pt>
                <c:pt idx="136">
                  <c:v>149.30080000000001</c:v>
                </c:pt>
                <c:pt idx="137">
                  <c:v>150.39859999999999</c:v>
                </c:pt>
                <c:pt idx="138">
                  <c:v>151.49639999999999</c:v>
                </c:pt>
                <c:pt idx="139">
                  <c:v>152.5942</c:v>
                </c:pt>
                <c:pt idx="140">
                  <c:v>153.69200000000001</c:v>
                </c:pt>
                <c:pt idx="141">
                  <c:v>154.78980000000001</c:v>
                </c:pt>
                <c:pt idx="142">
                  <c:v>155.88759999999999</c:v>
                </c:pt>
                <c:pt idx="143">
                  <c:v>156.9854</c:v>
                </c:pt>
                <c:pt idx="144">
                  <c:v>158.08320000000001</c:v>
                </c:pt>
                <c:pt idx="145">
                  <c:v>159.18100000000001</c:v>
                </c:pt>
                <c:pt idx="146">
                  <c:v>160.27879999999999</c:v>
                </c:pt>
                <c:pt idx="147">
                  <c:v>161.3766</c:v>
                </c:pt>
                <c:pt idx="148">
                  <c:v>162.4744</c:v>
                </c:pt>
                <c:pt idx="149">
                  <c:v>163.57220000000001</c:v>
                </c:pt>
                <c:pt idx="150">
                  <c:v>164.67000000000002</c:v>
                </c:pt>
                <c:pt idx="151">
                  <c:v>165.76779999999999</c:v>
                </c:pt>
                <c:pt idx="152">
                  <c:v>166.8656</c:v>
                </c:pt>
                <c:pt idx="153">
                  <c:v>167.96340000000001</c:v>
                </c:pt>
                <c:pt idx="154">
                  <c:v>169.06120000000001</c:v>
                </c:pt>
                <c:pt idx="155">
                  <c:v>170.15899999999999</c:v>
                </c:pt>
                <c:pt idx="156">
                  <c:v>171.2568</c:v>
                </c:pt>
                <c:pt idx="157">
                  <c:v>172.3546</c:v>
                </c:pt>
                <c:pt idx="158">
                  <c:v>173.45240000000001</c:v>
                </c:pt>
                <c:pt idx="159">
                  <c:v>174.55020000000002</c:v>
                </c:pt>
                <c:pt idx="160">
                  <c:v>175.648</c:v>
                </c:pt>
                <c:pt idx="161">
                  <c:v>176.7458</c:v>
                </c:pt>
                <c:pt idx="162">
                  <c:v>177.84359999999998</c:v>
                </c:pt>
                <c:pt idx="163">
                  <c:v>178.94139999999999</c:v>
                </c:pt>
                <c:pt idx="164">
                  <c:v>180.03919999999999</c:v>
                </c:pt>
                <c:pt idx="165">
                  <c:v>181.137</c:v>
                </c:pt>
                <c:pt idx="166">
                  <c:v>182.23480000000001</c:v>
                </c:pt>
                <c:pt idx="167">
                  <c:v>183.33260000000001</c:v>
                </c:pt>
                <c:pt idx="168">
                  <c:v>184.43040000000002</c:v>
                </c:pt>
                <c:pt idx="169">
                  <c:v>185.5282</c:v>
                </c:pt>
                <c:pt idx="170">
                  <c:v>186.62599999999998</c:v>
                </c:pt>
                <c:pt idx="171">
                  <c:v>187.72379999999998</c:v>
                </c:pt>
                <c:pt idx="172">
                  <c:v>188.82159999999999</c:v>
                </c:pt>
                <c:pt idx="173">
                  <c:v>189.9194</c:v>
                </c:pt>
                <c:pt idx="174">
                  <c:v>191.0172</c:v>
                </c:pt>
                <c:pt idx="175">
                  <c:v>192.11500000000001</c:v>
                </c:pt>
                <c:pt idx="176">
                  <c:v>193.21280000000002</c:v>
                </c:pt>
                <c:pt idx="177">
                  <c:v>194.31060000000002</c:v>
                </c:pt>
                <c:pt idx="178">
                  <c:v>195.4084</c:v>
                </c:pt>
                <c:pt idx="179">
                  <c:v>196.50620000000001</c:v>
                </c:pt>
                <c:pt idx="180">
                  <c:v>197.60400000000001</c:v>
                </c:pt>
                <c:pt idx="181">
                  <c:v>198.70179999999999</c:v>
                </c:pt>
                <c:pt idx="182">
                  <c:v>199.7996</c:v>
                </c:pt>
                <c:pt idx="183">
                  <c:v>200.8974</c:v>
                </c:pt>
                <c:pt idx="184">
                  <c:v>201.99520000000001</c:v>
                </c:pt>
                <c:pt idx="185">
                  <c:v>203.09300000000002</c:v>
                </c:pt>
                <c:pt idx="186">
                  <c:v>204.1908</c:v>
                </c:pt>
                <c:pt idx="187">
                  <c:v>205.2886</c:v>
                </c:pt>
                <c:pt idx="188">
                  <c:v>206.38640000000001</c:v>
                </c:pt>
                <c:pt idx="189">
                  <c:v>207.48419999999999</c:v>
                </c:pt>
                <c:pt idx="190">
                  <c:v>208.58199999999999</c:v>
                </c:pt>
                <c:pt idx="191">
                  <c:v>209.6798</c:v>
                </c:pt>
                <c:pt idx="192">
                  <c:v>210.77760000000001</c:v>
                </c:pt>
                <c:pt idx="193">
                  <c:v>211.87540000000001</c:v>
                </c:pt>
                <c:pt idx="194">
                  <c:v>212.97319999999999</c:v>
                </c:pt>
                <c:pt idx="195">
                  <c:v>214.071</c:v>
                </c:pt>
                <c:pt idx="196">
                  <c:v>215.1688</c:v>
                </c:pt>
                <c:pt idx="197">
                  <c:v>216.26659999999998</c:v>
                </c:pt>
                <c:pt idx="198">
                  <c:v>217.36439999999999</c:v>
                </c:pt>
                <c:pt idx="199">
                  <c:v>218.4622</c:v>
                </c:pt>
                <c:pt idx="200">
                  <c:v>219.56</c:v>
                </c:pt>
              </c:numCache>
            </c:numRef>
          </c:cat>
          <c:val>
            <c:numRef>
              <c:f>Aux!$G$3:$G$203</c:f>
              <c:numCache>
                <c:formatCode>_-[$$-409]* #,##0.00_ ;_-[$$-409]* \-#,##0.00\ ;_-[$$-409]* "-"??_ ;_-@_ </c:formatCode>
                <c:ptCount val="201"/>
                <c:pt idx="0">
                  <c:v>-19.961832129299381</c:v>
                </c:pt>
                <c:pt idx="1">
                  <c:v>-19.961832129299381</c:v>
                </c:pt>
                <c:pt idx="2">
                  <c:v>-19.961832129299381</c:v>
                </c:pt>
                <c:pt idx="3">
                  <c:v>-19.961832129299381</c:v>
                </c:pt>
                <c:pt idx="4">
                  <c:v>-19.961832129299381</c:v>
                </c:pt>
                <c:pt idx="5">
                  <c:v>-19.961832129299381</c:v>
                </c:pt>
                <c:pt idx="6">
                  <c:v>-19.961832129299381</c:v>
                </c:pt>
                <c:pt idx="7">
                  <c:v>-19.961832129299381</c:v>
                </c:pt>
                <c:pt idx="8">
                  <c:v>-19.961832129299381</c:v>
                </c:pt>
                <c:pt idx="9">
                  <c:v>-19.961832129299381</c:v>
                </c:pt>
                <c:pt idx="10">
                  <c:v>-19.961832129299381</c:v>
                </c:pt>
                <c:pt idx="11">
                  <c:v>-19.961832129299381</c:v>
                </c:pt>
                <c:pt idx="12">
                  <c:v>-19.961832129299381</c:v>
                </c:pt>
                <c:pt idx="13">
                  <c:v>-19.961832129299381</c:v>
                </c:pt>
                <c:pt idx="14">
                  <c:v>-19.961832129299381</c:v>
                </c:pt>
                <c:pt idx="15">
                  <c:v>-19.961832129299381</c:v>
                </c:pt>
                <c:pt idx="16">
                  <c:v>-19.961832129299381</c:v>
                </c:pt>
                <c:pt idx="17">
                  <c:v>-19.961832129299381</c:v>
                </c:pt>
                <c:pt idx="18">
                  <c:v>-19.961832129299381</c:v>
                </c:pt>
                <c:pt idx="19">
                  <c:v>-19.961832129299381</c:v>
                </c:pt>
                <c:pt idx="20">
                  <c:v>-19.961832129299381</c:v>
                </c:pt>
                <c:pt idx="21">
                  <c:v>-19.961832129299381</c:v>
                </c:pt>
                <c:pt idx="22">
                  <c:v>-19.961832129299381</c:v>
                </c:pt>
                <c:pt idx="23">
                  <c:v>-19.961832129299381</c:v>
                </c:pt>
                <c:pt idx="24">
                  <c:v>-19.961832129299381</c:v>
                </c:pt>
                <c:pt idx="25">
                  <c:v>-19.961832129299381</c:v>
                </c:pt>
                <c:pt idx="26">
                  <c:v>-19.961832129299381</c:v>
                </c:pt>
                <c:pt idx="27">
                  <c:v>-19.961832129299381</c:v>
                </c:pt>
                <c:pt idx="28">
                  <c:v>-19.961832129299381</c:v>
                </c:pt>
                <c:pt idx="29">
                  <c:v>-19.961832129299381</c:v>
                </c:pt>
                <c:pt idx="30">
                  <c:v>-19.961832129299381</c:v>
                </c:pt>
                <c:pt idx="31">
                  <c:v>-19.961832129299381</c:v>
                </c:pt>
                <c:pt idx="32">
                  <c:v>-19.961832129299381</c:v>
                </c:pt>
                <c:pt idx="33">
                  <c:v>-19.961832129299381</c:v>
                </c:pt>
                <c:pt idx="34">
                  <c:v>-19.961832129299381</c:v>
                </c:pt>
                <c:pt idx="35">
                  <c:v>-19.961832129299381</c:v>
                </c:pt>
                <c:pt idx="36">
                  <c:v>-19.961832129299381</c:v>
                </c:pt>
                <c:pt idx="37">
                  <c:v>-19.961832129299381</c:v>
                </c:pt>
                <c:pt idx="38">
                  <c:v>-19.961832129299381</c:v>
                </c:pt>
                <c:pt idx="39">
                  <c:v>-19.961832129299381</c:v>
                </c:pt>
                <c:pt idx="40">
                  <c:v>-19.961832129299381</c:v>
                </c:pt>
                <c:pt idx="41">
                  <c:v>-19.961832129299381</c:v>
                </c:pt>
                <c:pt idx="42">
                  <c:v>-19.961832129299381</c:v>
                </c:pt>
                <c:pt idx="43">
                  <c:v>-19.961832129299381</c:v>
                </c:pt>
                <c:pt idx="44">
                  <c:v>-19.961832129299381</c:v>
                </c:pt>
                <c:pt idx="45">
                  <c:v>-19.961832129299381</c:v>
                </c:pt>
                <c:pt idx="46">
                  <c:v>-19.961832129299381</c:v>
                </c:pt>
                <c:pt idx="47">
                  <c:v>-19.961832129299381</c:v>
                </c:pt>
                <c:pt idx="48">
                  <c:v>-19.961832129299381</c:v>
                </c:pt>
                <c:pt idx="49">
                  <c:v>-19.961832129299381</c:v>
                </c:pt>
                <c:pt idx="50">
                  <c:v>-19.961832129299381</c:v>
                </c:pt>
                <c:pt idx="51">
                  <c:v>-19.961832129299381</c:v>
                </c:pt>
                <c:pt idx="52">
                  <c:v>-19.961832129299381</c:v>
                </c:pt>
                <c:pt idx="53">
                  <c:v>-19.961832129299381</c:v>
                </c:pt>
                <c:pt idx="54">
                  <c:v>-19.961832129299381</c:v>
                </c:pt>
                <c:pt idx="55">
                  <c:v>-19.961832129299381</c:v>
                </c:pt>
                <c:pt idx="56">
                  <c:v>-19.961832129299381</c:v>
                </c:pt>
                <c:pt idx="57">
                  <c:v>-19.961832129299381</c:v>
                </c:pt>
                <c:pt idx="58">
                  <c:v>-19.961832129299381</c:v>
                </c:pt>
                <c:pt idx="59">
                  <c:v>-19.961832129299381</c:v>
                </c:pt>
                <c:pt idx="60">
                  <c:v>-19.961832129299381</c:v>
                </c:pt>
                <c:pt idx="61">
                  <c:v>-19.961832129299381</c:v>
                </c:pt>
                <c:pt idx="62">
                  <c:v>-19.961832129299381</c:v>
                </c:pt>
                <c:pt idx="63">
                  <c:v>-19.961832129299381</c:v>
                </c:pt>
                <c:pt idx="64">
                  <c:v>-19.961832129299381</c:v>
                </c:pt>
                <c:pt idx="65">
                  <c:v>-19.961832129299381</c:v>
                </c:pt>
                <c:pt idx="66">
                  <c:v>-19.961832129299381</c:v>
                </c:pt>
                <c:pt idx="67">
                  <c:v>-19.961832129299381</c:v>
                </c:pt>
                <c:pt idx="68">
                  <c:v>-19.961832129299381</c:v>
                </c:pt>
                <c:pt idx="69">
                  <c:v>-19.961832129299381</c:v>
                </c:pt>
                <c:pt idx="70">
                  <c:v>-19.961832129299381</c:v>
                </c:pt>
                <c:pt idx="71">
                  <c:v>-19.961832129299381</c:v>
                </c:pt>
                <c:pt idx="72">
                  <c:v>-19.961832129299381</c:v>
                </c:pt>
                <c:pt idx="73">
                  <c:v>-19.961832129299381</c:v>
                </c:pt>
                <c:pt idx="74">
                  <c:v>-19.961832129299381</c:v>
                </c:pt>
                <c:pt idx="75">
                  <c:v>-19.961832129299381</c:v>
                </c:pt>
                <c:pt idx="76">
                  <c:v>-19.961832129299381</c:v>
                </c:pt>
                <c:pt idx="77">
                  <c:v>-19.961832129299381</c:v>
                </c:pt>
                <c:pt idx="78">
                  <c:v>-19.961832129299381</c:v>
                </c:pt>
                <c:pt idx="79">
                  <c:v>-19.961832129299381</c:v>
                </c:pt>
                <c:pt idx="80">
                  <c:v>-19.961832129299381</c:v>
                </c:pt>
                <c:pt idx="81">
                  <c:v>-19.961832129299381</c:v>
                </c:pt>
                <c:pt idx="82">
                  <c:v>-19.961832129299381</c:v>
                </c:pt>
                <c:pt idx="83">
                  <c:v>-19.961832129299381</c:v>
                </c:pt>
                <c:pt idx="84">
                  <c:v>-19.961832129299381</c:v>
                </c:pt>
                <c:pt idx="85">
                  <c:v>-19.961832129299381</c:v>
                </c:pt>
                <c:pt idx="86">
                  <c:v>-19.961832129299381</c:v>
                </c:pt>
                <c:pt idx="87">
                  <c:v>-19.961832129299381</c:v>
                </c:pt>
                <c:pt idx="88">
                  <c:v>-19.961832129299381</c:v>
                </c:pt>
                <c:pt idx="89">
                  <c:v>-19.961832129299381</c:v>
                </c:pt>
                <c:pt idx="90">
                  <c:v>-19.961832129299381</c:v>
                </c:pt>
                <c:pt idx="91">
                  <c:v>-19.961832129299381</c:v>
                </c:pt>
                <c:pt idx="92">
                  <c:v>-19.961832129299381</c:v>
                </c:pt>
                <c:pt idx="93">
                  <c:v>-19.961832129299381</c:v>
                </c:pt>
                <c:pt idx="94">
                  <c:v>-19.961832129299381</c:v>
                </c:pt>
                <c:pt idx="95">
                  <c:v>-19.961832129299381</c:v>
                </c:pt>
                <c:pt idx="96">
                  <c:v>-19.961832129299381</c:v>
                </c:pt>
                <c:pt idx="97">
                  <c:v>-19.961832129299381</c:v>
                </c:pt>
                <c:pt idx="98">
                  <c:v>-19.961832129299381</c:v>
                </c:pt>
                <c:pt idx="99">
                  <c:v>-19.961832129299381</c:v>
                </c:pt>
                <c:pt idx="100">
                  <c:v>-19.961832129299381</c:v>
                </c:pt>
                <c:pt idx="101">
                  <c:v>-18.864032129299375</c:v>
                </c:pt>
                <c:pt idx="102">
                  <c:v>-17.766232129299382</c:v>
                </c:pt>
                <c:pt idx="103">
                  <c:v>-16.668432129299376</c:v>
                </c:pt>
                <c:pt idx="104">
                  <c:v>-15.570632129299383</c:v>
                </c:pt>
                <c:pt idx="105">
                  <c:v>-14.472832129299377</c:v>
                </c:pt>
                <c:pt idx="106">
                  <c:v>-13.375032129299385</c:v>
                </c:pt>
                <c:pt idx="107">
                  <c:v>-12.277232129299378</c:v>
                </c:pt>
                <c:pt idx="108">
                  <c:v>-11.179432129299386</c:v>
                </c:pt>
                <c:pt idx="109">
                  <c:v>-10.081632129299379</c:v>
                </c:pt>
                <c:pt idx="110">
                  <c:v>-8.9838321292993726</c:v>
                </c:pt>
                <c:pt idx="111">
                  <c:v>-7.8860321292993802</c:v>
                </c:pt>
                <c:pt idx="112">
                  <c:v>-6.7882321292993879</c:v>
                </c:pt>
                <c:pt idx="113">
                  <c:v>-5.6904321292993814</c:v>
                </c:pt>
                <c:pt idx="114">
                  <c:v>-4.5926321292993748</c:v>
                </c:pt>
                <c:pt idx="115">
                  <c:v>-3.4948321292993825</c:v>
                </c:pt>
                <c:pt idx="116">
                  <c:v>-2.3970321292993759</c:v>
                </c:pt>
                <c:pt idx="117">
                  <c:v>-1.2992321292993836</c:v>
                </c:pt>
                <c:pt idx="118">
                  <c:v>-0.20143212929937704</c:v>
                </c:pt>
                <c:pt idx="119">
                  <c:v>0.89636787070062951</c:v>
                </c:pt>
                <c:pt idx="120">
                  <c:v>1.9941678707006076</c:v>
                </c:pt>
                <c:pt idx="121">
                  <c:v>3.0919678707006142</c:v>
                </c:pt>
                <c:pt idx="122">
                  <c:v>4.1897678707006207</c:v>
                </c:pt>
                <c:pt idx="123">
                  <c:v>5.2875678707006273</c:v>
                </c:pt>
                <c:pt idx="124">
                  <c:v>6.3853678707006338</c:v>
                </c:pt>
                <c:pt idx="125">
                  <c:v>7.483167870700612</c:v>
                </c:pt>
                <c:pt idx="126">
                  <c:v>8.5809678707006185</c:v>
                </c:pt>
                <c:pt idx="127">
                  <c:v>9.6787678707006251</c:v>
                </c:pt>
                <c:pt idx="128">
                  <c:v>10.776567870700632</c:v>
                </c:pt>
                <c:pt idx="129">
                  <c:v>11.87436787070061</c:v>
                </c:pt>
                <c:pt idx="130">
                  <c:v>12.972167870700616</c:v>
                </c:pt>
                <c:pt idx="131">
                  <c:v>14.069967870700623</c:v>
                </c:pt>
                <c:pt idx="132">
                  <c:v>15.167767870700629</c:v>
                </c:pt>
                <c:pt idx="133">
                  <c:v>16.265567870700636</c:v>
                </c:pt>
                <c:pt idx="134">
                  <c:v>17.363367870700614</c:v>
                </c:pt>
                <c:pt idx="135">
                  <c:v>18.461167870700621</c:v>
                </c:pt>
                <c:pt idx="136">
                  <c:v>19.558967870700627</c:v>
                </c:pt>
                <c:pt idx="137">
                  <c:v>20.656767870700605</c:v>
                </c:pt>
                <c:pt idx="138">
                  <c:v>21.754567870700612</c:v>
                </c:pt>
                <c:pt idx="139">
                  <c:v>22.852367870700618</c:v>
                </c:pt>
                <c:pt idx="140">
                  <c:v>23.950167870700625</c:v>
                </c:pt>
                <c:pt idx="141">
                  <c:v>25.047967870700631</c:v>
                </c:pt>
                <c:pt idx="142">
                  <c:v>26.14576787070061</c:v>
                </c:pt>
                <c:pt idx="143">
                  <c:v>27.243567870700616</c:v>
                </c:pt>
                <c:pt idx="144">
                  <c:v>28.341367870700623</c:v>
                </c:pt>
                <c:pt idx="145">
                  <c:v>29.439167870700629</c:v>
                </c:pt>
                <c:pt idx="146">
                  <c:v>30.536967870700607</c:v>
                </c:pt>
                <c:pt idx="147">
                  <c:v>31.634767870700614</c:v>
                </c:pt>
                <c:pt idx="148">
                  <c:v>32.73256787070062</c:v>
                </c:pt>
                <c:pt idx="149">
                  <c:v>33.830367870700627</c:v>
                </c:pt>
                <c:pt idx="150">
                  <c:v>34.928167870700634</c:v>
                </c:pt>
                <c:pt idx="151">
                  <c:v>36.025967870700612</c:v>
                </c:pt>
                <c:pt idx="152">
                  <c:v>37.123767870700618</c:v>
                </c:pt>
                <c:pt idx="153">
                  <c:v>38.221567870700625</c:v>
                </c:pt>
                <c:pt idx="154">
                  <c:v>39.319367870700631</c:v>
                </c:pt>
                <c:pt idx="155">
                  <c:v>40.417167870700609</c:v>
                </c:pt>
                <c:pt idx="156">
                  <c:v>41.514967870700616</c:v>
                </c:pt>
                <c:pt idx="157">
                  <c:v>42.612767870700623</c:v>
                </c:pt>
                <c:pt idx="158">
                  <c:v>43.710567870700629</c:v>
                </c:pt>
                <c:pt idx="159">
                  <c:v>44.808367870700636</c:v>
                </c:pt>
                <c:pt idx="160">
                  <c:v>45.906167870700614</c:v>
                </c:pt>
                <c:pt idx="161">
                  <c:v>47.00396787070062</c:v>
                </c:pt>
                <c:pt idx="162">
                  <c:v>48.101767870700598</c:v>
                </c:pt>
                <c:pt idx="163">
                  <c:v>49.199567870700605</c:v>
                </c:pt>
                <c:pt idx="164">
                  <c:v>50.297367870700612</c:v>
                </c:pt>
                <c:pt idx="165">
                  <c:v>51.395167870700618</c:v>
                </c:pt>
                <c:pt idx="166">
                  <c:v>52.492967870700625</c:v>
                </c:pt>
                <c:pt idx="167">
                  <c:v>53.590767870700631</c:v>
                </c:pt>
                <c:pt idx="168">
                  <c:v>54.688567870700638</c:v>
                </c:pt>
                <c:pt idx="169">
                  <c:v>55.786367870700616</c:v>
                </c:pt>
                <c:pt idx="170">
                  <c:v>56.884167870700594</c:v>
                </c:pt>
                <c:pt idx="171">
                  <c:v>57.981967870700601</c:v>
                </c:pt>
                <c:pt idx="172">
                  <c:v>59.079767870700607</c:v>
                </c:pt>
                <c:pt idx="173">
                  <c:v>60.177567870700614</c:v>
                </c:pt>
                <c:pt idx="174">
                  <c:v>61.27536787070062</c:v>
                </c:pt>
                <c:pt idx="175">
                  <c:v>62.373167870700627</c:v>
                </c:pt>
                <c:pt idx="176">
                  <c:v>63.470967870700633</c:v>
                </c:pt>
                <c:pt idx="177">
                  <c:v>64.56876787070064</c:v>
                </c:pt>
                <c:pt idx="178">
                  <c:v>65.666567870700618</c:v>
                </c:pt>
                <c:pt idx="179">
                  <c:v>66.764367870700625</c:v>
                </c:pt>
                <c:pt idx="180">
                  <c:v>67.862167870700631</c:v>
                </c:pt>
                <c:pt idx="181">
                  <c:v>68.959967870700609</c:v>
                </c:pt>
                <c:pt idx="182">
                  <c:v>70.057767870700616</c:v>
                </c:pt>
                <c:pt idx="183">
                  <c:v>71.155567870700622</c:v>
                </c:pt>
                <c:pt idx="184">
                  <c:v>72.253367870700629</c:v>
                </c:pt>
                <c:pt idx="185">
                  <c:v>73.351167870700635</c:v>
                </c:pt>
                <c:pt idx="186">
                  <c:v>74.448967870700614</c:v>
                </c:pt>
                <c:pt idx="187">
                  <c:v>75.54676787070062</c:v>
                </c:pt>
                <c:pt idx="188">
                  <c:v>76.644567870700627</c:v>
                </c:pt>
                <c:pt idx="189">
                  <c:v>77.742367870700605</c:v>
                </c:pt>
                <c:pt idx="190">
                  <c:v>78.840167870700611</c:v>
                </c:pt>
                <c:pt idx="191">
                  <c:v>79.937967870700618</c:v>
                </c:pt>
                <c:pt idx="192">
                  <c:v>81.035767870700624</c:v>
                </c:pt>
                <c:pt idx="193">
                  <c:v>82.133567870700631</c:v>
                </c:pt>
                <c:pt idx="194">
                  <c:v>83.231367870700609</c:v>
                </c:pt>
                <c:pt idx="195">
                  <c:v>84.329167870700616</c:v>
                </c:pt>
                <c:pt idx="196">
                  <c:v>85.426967870700622</c:v>
                </c:pt>
                <c:pt idx="197">
                  <c:v>86.5247678707006</c:v>
                </c:pt>
                <c:pt idx="198">
                  <c:v>87.622567870700607</c:v>
                </c:pt>
                <c:pt idx="199">
                  <c:v>88.720367870700613</c:v>
                </c:pt>
                <c:pt idx="200">
                  <c:v>89.81816787070062</c:v>
                </c:pt>
              </c:numCache>
            </c:numRef>
          </c:val>
          <c:smooth val="0"/>
          <c:extLst>
            <c:ext xmlns:c16="http://schemas.microsoft.com/office/drawing/2014/chart" uri="{C3380CC4-5D6E-409C-BE32-E72D297353CC}">
              <c16:uniqueId val="{00000000-A6F7-4BFF-9661-E8E524C3A64E}"/>
            </c:ext>
          </c:extLst>
        </c:ser>
        <c:dLbls>
          <c:showLegendKey val="0"/>
          <c:showVal val="0"/>
          <c:showCatName val="0"/>
          <c:showSerName val="0"/>
          <c:showPercent val="0"/>
          <c:showBubbleSize val="0"/>
        </c:dLbls>
        <c:smooth val="0"/>
        <c:axId val="196813200"/>
        <c:axId val="1064248935"/>
      </c:lineChart>
      <c:catAx>
        <c:axId val="196813200"/>
        <c:scaling>
          <c:orientation val="minMax"/>
        </c:scaling>
        <c:delete val="0"/>
        <c:axPos val="b"/>
        <c:title>
          <c:tx>
            <c:rich>
              <a:bodyPr/>
              <a:lstStyle/>
              <a:p>
                <a:pPr>
                  <a:defRPr/>
                </a:pPr>
                <a:r>
                  <a:rPr lang="en-US"/>
                  <a:t>Underlying Price</a:t>
                </a:r>
              </a:p>
            </c:rich>
          </c:tx>
          <c:layout>
            <c:manualLayout>
              <c:xMode val="edge"/>
              <c:yMode val="edge"/>
              <c:x val="0.46289866294414028"/>
              <c:y val="0.90926302941949266"/>
            </c:manualLayout>
          </c:layout>
          <c:overlay val="0"/>
        </c:title>
        <c:numFmt formatCode="#,##0" sourceLinked="0"/>
        <c:majorTickMark val="none"/>
        <c:minorTickMark val="none"/>
        <c:tickLblPos val="nextTo"/>
        <c:crossAx val="1064248935"/>
        <c:crosses val="autoZero"/>
        <c:auto val="1"/>
        <c:lblAlgn val="ctr"/>
        <c:lblOffset val="100"/>
        <c:noMultiLvlLbl val="1"/>
      </c:catAx>
      <c:valAx>
        <c:axId val="1064248935"/>
        <c:scaling>
          <c:orientation val="minMax"/>
        </c:scaling>
        <c:delete val="0"/>
        <c:axPos val="l"/>
        <c:majorGridlines>
          <c:spPr>
            <a:ln>
              <a:solidFill>
                <a:srgbClr val="B7B7B7"/>
              </a:solidFill>
            </a:ln>
          </c:spPr>
        </c:majorGridlines>
        <c:title>
          <c:tx>
            <c:rich>
              <a:bodyPr/>
              <a:lstStyle/>
              <a:p>
                <a:pPr>
                  <a:defRPr/>
                </a:pPr>
                <a:r>
                  <a:rPr lang="en-US"/>
                  <a:t>Option's P&amp;L</a:t>
                </a:r>
              </a:p>
            </c:rich>
          </c:tx>
          <c:overlay val="0"/>
        </c:title>
        <c:numFmt formatCode="_([$$-409]* #,##0_);_([$$-409]* \(#,##0\);_([$$-409]* &quot;-&quot;_);_(@_)" sourceLinked="0"/>
        <c:majorTickMark val="none"/>
        <c:minorTickMark val="none"/>
        <c:tickLblPos val="nextTo"/>
        <c:spPr>
          <a:ln/>
        </c:spPr>
        <c:crossAx val="196813200"/>
        <c:crosses val="autoZero"/>
        <c:crossBetween val="between"/>
      </c:valAx>
    </c:plotArea>
    <c:plotVisOnly val="1"/>
    <c:dispBlanksAs val="zero"/>
    <c:showDLblsOverMax val="1"/>
  </c:chart>
  <c:txPr>
    <a:bodyPr/>
    <a:lstStyle/>
    <a:p>
      <a:pPr>
        <a:defRPr sz="1100"/>
      </a:pPr>
      <a:endParaRPr lang="en-BR"/>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3</xdr:col>
      <xdr:colOff>466725</xdr:colOff>
      <xdr:row>12</xdr:row>
      <xdr:rowOff>133350</xdr:rowOff>
    </xdr:from>
    <xdr:ext cx="11268075" cy="571500"/>
    <xdr:sp macro="" textlink="">
      <xdr:nvSpPr>
        <xdr:cNvPr id="3" name="Shape 3">
          <a:extLst>
            <a:ext uri="{FF2B5EF4-FFF2-40B4-BE49-F238E27FC236}">
              <a16:creationId xmlns:a16="http://schemas.microsoft.com/office/drawing/2014/main" id="{00000000-0008-0000-0000-000003000000}"/>
            </a:ext>
          </a:extLst>
        </xdr:cNvPr>
        <xdr:cNvSpPr txBox="1"/>
      </xdr:nvSpPr>
      <xdr:spPr>
        <a:xfrm>
          <a:off x="0" y="3499013"/>
          <a:ext cx="10692000" cy="5619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b="1" i="1">
              <a:solidFill>
                <a:schemeClr val="dk1"/>
              </a:solidFill>
              <a:latin typeface="Calibri"/>
              <a:ea typeface="Calibri"/>
              <a:cs typeface="Calibri"/>
              <a:sym typeface="Calibri"/>
            </a:rPr>
            <a:t>In order to calculate the option's price, you must input the option's caractheristics in the sheet named "Inputs", this one will automatically connect for both Binomial and Black &amp; Scholes models.</a:t>
          </a:r>
          <a:endParaRPr sz="1400"/>
        </a:p>
        <a:p>
          <a:pPr marL="0" lvl="0" indent="0" algn="l" rtl="0">
            <a:spcBef>
              <a:spcPts val="0"/>
            </a:spcBef>
            <a:spcAft>
              <a:spcPts val="0"/>
            </a:spcAft>
            <a:buNone/>
          </a:pPr>
          <a:r>
            <a:rPr lang="en-US" sz="1100" b="1" i="1">
              <a:solidFill>
                <a:schemeClr val="dk1"/>
              </a:solidFill>
              <a:latin typeface="Calibri"/>
              <a:ea typeface="Calibri"/>
              <a:cs typeface="Calibri"/>
              <a:sym typeface="Calibri"/>
            </a:rPr>
            <a:t>After inserting the option data in the Inputs, you must press the buttons linked to each model to perform the option pricing automatically.</a:t>
          </a:r>
          <a:endParaRPr sz="1400"/>
        </a:p>
        <a:p>
          <a:pPr marL="0" lvl="0" indent="0" algn="l" rtl="0">
            <a:spcBef>
              <a:spcPts val="0"/>
            </a:spcBef>
            <a:spcAft>
              <a:spcPts val="0"/>
            </a:spcAft>
            <a:buNone/>
          </a:pPr>
          <a:r>
            <a:rPr lang="en-US" sz="1100" b="1" i="1">
              <a:solidFill>
                <a:schemeClr val="dk1"/>
              </a:solidFill>
              <a:latin typeface="Calibri"/>
              <a:ea typeface="Calibri"/>
              <a:cs typeface="Calibri"/>
              <a:sym typeface="Calibri"/>
            </a:rPr>
            <a:t>Buttons are also included to switch between files without having to manually to it.</a:t>
          </a:r>
          <a:endParaRPr sz="1400"/>
        </a:p>
      </xdr:txBody>
    </xdr:sp>
    <xdr:clientData fLocksWithSheet="0"/>
  </xdr:oneCellAnchor>
  <xdr:oneCellAnchor>
    <xdr:from>
      <xdr:col>4</xdr:col>
      <xdr:colOff>333375</xdr:colOff>
      <xdr:row>23</xdr:row>
      <xdr:rowOff>123825</xdr:rowOff>
    </xdr:from>
    <xdr:ext cx="1952625" cy="419100"/>
    <xdr:sp macro="" textlink="">
      <xdr:nvSpPr>
        <xdr:cNvPr id="4" name="Shape 4">
          <a:extLst>
            <a:ext uri="{FF2B5EF4-FFF2-40B4-BE49-F238E27FC236}">
              <a16:creationId xmlns:a16="http://schemas.microsoft.com/office/drawing/2014/main" id="{00000000-0008-0000-0000-000004000000}"/>
            </a:ext>
          </a:extLst>
        </xdr:cNvPr>
        <xdr:cNvSpPr txBox="1"/>
      </xdr:nvSpPr>
      <xdr:spPr>
        <a:xfrm>
          <a:off x="4374450" y="3575213"/>
          <a:ext cx="1943100" cy="4095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2500" b="1" i="0">
              <a:solidFill>
                <a:schemeClr val="dk1"/>
              </a:solidFill>
              <a:latin typeface="Calibri"/>
              <a:ea typeface="Calibri"/>
              <a:cs typeface="Calibri"/>
              <a:sym typeface="Calibri"/>
            </a:rPr>
            <a:t>MEMENTO</a:t>
          </a:r>
          <a:endParaRPr sz="1400"/>
        </a:p>
      </xdr:txBody>
    </xdr:sp>
    <xdr:clientData fLocksWithSheet="0"/>
  </xdr:oneCellAnchor>
  <xdr:oneCellAnchor>
    <xdr:from>
      <xdr:col>7</xdr:col>
      <xdr:colOff>266700</xdr:colOff>
      <xdr:row>16</xdr:row>
      <xdr:rowOff>47625</xdr:rowOff>
    </xdr:from>
    <xdr:ext cx="9134475" cy="38100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783525" y="1879763"/>
          <a:ext cx="9124950" cy="38004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200" b="1" i="0" u="none" strike="noStrike">
              <a:solidFill>
                <a:schemeClr val="dk1"/>
              </a:solidFill>
              <a:latin typeface="Calibri"/>
              <a:ea typeface="Calibri"/>
              <a:cs typeface="Calibri"/>
              <a:sym typeface="Calibri"/>
            </a:rPr>
            <a:t>Before digging into the principles of our group assignment, let us have a quick momento on some pertinent course materials viewed in the previous lectures. Options, in finance, are financial derivatives, that convey its owner the right but not the obligation to buy or sell the underlying asset, leaving the other counterparty of the contract with the obligation to execute if the holder decides to execute his option.</a:t>
          </a:r>
          <a:endParaRPr sz="1200" b="1"/>
        </a:p>
        <a:p>
          <a:pPr marL="0" lvl="0" indent="0" algn="l" rtl="0">
            <a:spcBef>
              <a:spcPts val="0"/>
            </a:spcBef>
            <a:spcAft>
              <a:spcPts val="0"/>
            </a:spcAft>
            <a:buNone/>
          </a:pPr>
          <a:br>
            <a:rPr lang="en-US" sz="1200" b="1">
              <a:solidFill>
                <a:schemeClr val="dk1"/>
              </a:solidFill>
              <a:latin typeface="Calibri"/>
              <a:ea typeface="Calibri"/>
              <a:cs typeface="Calibri"/>
              <a:sym typeface="Calibri"/>
            </a:rPr>
          </a:br>
          <a:r>
            <a:rPr lang="en-US" sz="1200" b="1" i="0" u="none" strike="noStrike">
              <a:solidFill>
                <a:schemeClr val="dk1"/>
              </a:solidFill>
              <a:latin typeface="Calibri"/>
              <a:ea typeface="Calibri"/>
              <a:cs typeface="Calibri"/>
              <a:sym typeface="Calibri"/>
            </a:rPr>
            <a:t>There are two types of options, Call options which allow the owner to buy the underlying asset at strike price stated in the contract within a specific timeframe, and Put options that allow the owner to sell the underlying asset at the strike price stated in the contract within a specific timeframe.</a:t>
          </a:r>
          <a:endParaRPr sz="1200" b="1"/>
        </a:p>
        <a:p>
          <a:pPr marL="0" lvl="0" indent="0" algn="l" rtl="0">
            <a:spcBef>
              <a:spcPts val="0"/>
            </a:spcBef>
            <a:spcAft>
              <a:spcPts val="0"/>
            </a:spcAft>
            <a:buNone/>
          </a:pPr>
          <a:br>
            <a:rPr lang="en-US" sz="1200" b="1">
              <a:solidFill>
                <a:schemeClr val="dk1"/>
              </a:solidFill>
              <a:latin typeface="Calibri"/>
              <a:ea typeface="Calibri"/>
              <a:cs typeface="Calibri"/>
              <a:sym typeface="Calibri"/>
            </a:rPr>
          </a:br>
          <a:r>
            <a:rPr lang="en-US" sz="1200" b="1" i="0" u="none" strike="noStrike">
              <a:solidFill>
                <a:schemeClr val="dk1"/>
              </a:solidFill>
              <a:latin typeface="Calibri"/>
              <a:ea typeface="Calibri"/>
              <a:cs typeface="Calibri"/>
              <a:sym typeface="Calibri"/>
            </a:rPr>
            <a:t>Options remain a very strong financial tool, as they provide increased cost efficiency, and they may be less risky than equity. They are mainly used for hedging and speculation purposes.</a:t>
          </a:r>
          <a:endParaRPr sz="1200" b="1"/>
        </a:p>
        <a:p>
          <a:pPr marL="0" lvl="0" indent="0" algn="l" rtl="0">
            <a:spcBef>
              <a:spcPts val="0"/>
            </a:spcBef>
            <a:spcAft>
              <a:spcPts val="0"/>
            </a:spcAft>
            <a:buNone/>
          </a:pPr>
          <a:r>
            <a:rPr lang="en-US" sz="1200" b="1" i="0" u="none" strike="noStrike">
              <a:solidFill>
                <a:schemeClr val="dk1"/>
              </a:solidFill>
              <a:latin typeface="Calibri"/>
              <a:ea typeface="Calibri"/>
              <a:cs typeface="Calibri"/>
              <a:sym typeface="Calibri"/>
            </a:rPr>
            <a:t> </a:t>
          </a:r>
          <a:endParaRPr sz="1200" b="1"/>
        </a:p>
        <a:p>
          <a:pPr marL="0" lvl="0" indent="0" algn="l" rtl="0">
            <a:spcBef>
              <a:spcPts val="0"/>
            </a:spcBef>
            <a:spcAft>
              <a:spcPts val="0"/>
            </a:spcAft>
            <a:buNone/>
          </a:pPr>
          <a:r>
            <a:rPr lang="en-US" sz="1200" b="1" i="0" u="none" strike="noStrike">
              <a:solidFill>
                <a:schemeClr val="dk1"/>
              </a:solidFill>
              <a:latin typeface="Calibri"/>
              <a:ea typeface="Calibri"/>
              <a:cs typeface="Calibri"/>
              <a:sym typeface="Calibri"/>
            </a:rPr>
            <a:t>In the implementation of our model, we will focus on European Options. European options are a version of options contract that unlike the American style options limits its execution to its maturity date. In other words, the holder of a European call or put option can not exercise his option whenever he wants but only at the expiration date specified in the contract.</a:t>
          </a:r>
          <a:endParaRPr sz="1200" b="1"/>
        </a:p>
        <a:p>
          <a:pPr marL="0" lvl="0" indent="0" algn="l" rtl="0">
            <a:spcBef>
              <a:spcPts val="0"/>
            </a:spcBef>
            <a:spcAft>
              <a:spcPts val="0"/>
            </a:spcAft>
            <a:buNone/>
          </a:pPr>
          <a:br>
            <a:rPr lang="en-US" sz="1200" b="1">
              <a:solidFill>
                <a:schemeClr val="dk1"/>
              </a:solidFill>
              <a:latin typeface="Calibri"/>
              <a:ea typeface="Calibri"/>
              <a:cs typeface="Calibri"/>
              <a:sym typeface="Calibri"/>
            </a:rPr>
          </a:br>
          <a:r>
            <a:rPr lang="en-US" sz="1200" b="1" i="0" u="none" strike="noStrike">
              <a:solidFill>
                <a:schemeClr val="dk1"/>
              </a:solidFill>
              <a:latin typeface="Calibri"/>
              <a:ea typeface="Calibri"/>
              <a:cs typeface="Calibri"/>
              <a:sym typeface="Calibri"/>
            </a:rPr>
            <a:t>Our aim with this model is to price European Call and Put Options only by using some information that is related to the option contract and the underlying asset, such as the strike price, the maturity date, the spot price of the asset. etc, by implementing them in the Binomial and Black-Scholes-Merton formula.</a:t>
          </a:r>
          <a:endParaRPr sz="1200" b="1"/>
        </a:p>
        <a:p>
          <a:pPr marL="0" lvl="0" indent="0" algn="l" rtl="0">
            <a:spcBef>
              <a:spcPts val="0"/>
            </a:spcBef>
            <a:spcAft>
              <a:spcPts val="0"/>
            </a:spcAft>
            <a:buNone/>
          </a:pPr>
          <a:br>
            <a:rPr lang="en-US" sz="1200" b="1">
              <a:solidFill>
                <a:schemeClr val="dk1"/>
              </a:solidFill>
              <a:latin typeface="Calibri"/>
              <a:ea typeface="Calibri"/>
              <a:cs typeface="Calibri"/>
              <a:sym typeface="Calibri"/>
            </a:rPr>
          </a:br>
          <a:r>
            <a:rPr lang="en-US" sz="1200" b="1" i="0" u="none" strike="noStrike">
              <a:solidFill>
                <a:schemeClr val="dk1"/>
              </a:solidFill>
              <a:latin typeface="Calibri"/>
              <a:ea typeface="Calibri"/>
              <a:cs typeface="Calibri"/>
              <a:sym typeface="Calibri"/>
            </a:rPr>
            <a:t>Since options are derivatives contracts, the movement in the price of the underlying asset up or down has a direct but not a proportional effect on the price of the option. That is why, these different pricing models are based also on other determining price factors, such as interest rates, risk-free rates, volatility, etc.</a:t>
          </a:r>
          <a:endParaRPr sz="1200" b="1"/>
        </a:p>
        <a:p>
          <a:pPr marL="0" lvl="0" indent="0" algn="l" rtl="0">
            <a:spcBef>
              <a:spcPts val="0"/>
            </a:spcBef>
            <a:spcAft>
              <a:spcPts val="0"/>
            </a:spcAft>
            <a:buNone/>
          </a:pPr>
          <a:br>
            <a:rPr lang="en-US" sz="1200" b="1">
              <a:solidFill>
                <a:schemeClr val="dk1"/>
              </a:solidFill>
              <a:latin typeface="Calibri"/>
              <a:ea typeface="Calibri"/>
              <a:cs typeface="Calibri"/>
              <a:sym typeface="Calibri"/>
            </a:rPr>
          </a:br>
          <a:r>
            <a:rPr lang="en-US" sz="1200" b="1" i="0" u="none" strike="noStrike">
              <a:solidFill>
                <a:schemeClr val="dk1"/>
              </a:solidFill>
              <a:latin typeface="Calibri"/>
              <a:ea typeface="Calibri"/>
              <a:cs typeface="Calibri"/>
              <a:sym typeface="Calibri"/>
            </a:rPr>
            <a:t>The document is structured as follows: the first part will discuss the overview of the questions, the second part will explain the foundations of the Binomial and Black-Scholes-Merton model and a third part acting as  a User Guide for the excel model.</a:t>
          </a:r>
          <a:endParaRPr sz="1200" b="1"/>
        </a:p>
        <a:p>
          <a:pPr marL="0" lvl="0" indent="0" algn="l" rtl="0">
            <a:spcBef>
              <a:spcPts val="0"/>
            </a:spcBef>
            <a:spcAft>
              <a:spcPts val="0"/>
            </a:spcAft>
            <a:buNone/>
          </a:pPr>
          <a:br>
            <a:rPr lang="en-US" sz="1100">
              <a:solidFill>
                <a:schemeClr val="dk1"/>
              </a:solidFill>
              <a:latin typeface="Calibri"/>
              <a:ea typeface="Calibri"/>
              <a:cs typeface="Calibri"/>
              <a:sym typeface="Calibri"/>
            </a:rPr>
          </a:br>
          <a:endParaRPr sz="1100"/>
        </a:p>
      </xdr:txBody>
    </xdr:sp>
    <xdr:clientData fLocksWithSheet="0"/>
  </xdr:oneCellAnchor>
  <xdr:oneCellAnchor>
    <xdr:from>
      <xdr:col>0</xdr:col>
      <xdr:colOff>180975</xdr:colOff>
      <xdr:row>36</xdr:row>
      <xdr:rowOff>19050</xdr:rowOff>
    </xdr:from>
    <xdr:ext cx="3295650" cy="1333500"/>
    <xdr:sp macro="" textlink="">
      <xdr:nvSpPr>
        <xdr:cNvPr id="6" name="Shape 6">
          <a:extLst>
            <a:ext uri="{FF2B5EF4-FFF2-40B4-BE49-F238E27FC236}">
              <a16:creationId xmlns:a16="http://schemas.microsoft.com/office/drawing/2014/main" id="{00000000-0008-0000-0000-000006000000}"/>
            </a:ext>
          </a:extLst>
        </xdr:cNvPr>
        <xdr:cNvSpPr txBox="1"/>
      </xdr:nvSpPr>
      <xdr:spPr>
        <a:xfrm>
          <a:off x="3702938" y="3118013"/>
          <a:ext cx="3286125" cy="13239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2500" b="1" i="0">
              <a:solidFill>
                <a:schemeClr val="dk1"/>
              </a:solidFill>
              <a:latin typeface="Calibri"/>
              <a:ea typeface="Calibri"/>
              <a:cs typeface="Calibri"/>
              <a:sym typeface="Calibri"/>
            </a:rPr>
            <a:t>Foundations of the Black-Scholes-Merton formula</a:t>
          </a:r>
          <a:endParaRPr sz="2500" b="1" i="0"/>
        </a:p>
      </xdr:txBody>
    </xdr:sp>
    <xdr:clientData fLocksWithSheet="0"/>
  </xdr:oneCellAnchor>
  <xdr:oneCellAnchor>
    <xdr:from>
      <xdr:col>6</xdr:col>
      <xdr:colOff>9525</xdr:colOff>
      <xdr:row>37</xdr:row>
      <xdr:rowOff>0</xdr:rowOff>
    </xdr:from>
    <xdr:ext cx="9915525" cy="952500"/>
    <xdr:sp macro="" textlink="">
      <xdr:nvSpPr>
        <xdr:cNvPr id="7" name="Shape 7">
          <a:extLst>
            <a:ext uri="{FF2B5EF4-FFF2-40B4-BE49-F238E27FC236}">
              <a16:creationId xmlns:a16="http://schemas.microsoft.com/office/drawing/2014/main" id="{00000000-0008-0000-0000-000007000000}"/>
            </a:ext>
          </a:extLst>
        </xdr:cNvPr>
        <xdr:cNvSpPr txBox="1"/>
      </xdr:nvSpPr>
      <xdr:spPr>
        <a:xfrm>
          <a:off x="393000" y="3308513"/>
          <a:ext cx="9906000" cy="94297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200" b="1" i="0" u="none" strike="noStrike">
              <a:solidFill>
                <a:schemeClr val="dk1"/>
              </a:solidFill>
              <a:latin typeface="Calibri"/>
              <a:ea typeface="Calibri"/>
              <a:cs typeface="Calibri"/>
              <a:sym typeface="Calibri"/>
            </a:rPr>
            <a:t>The Black-Scholes is a pricing model used to determine the fair price or theoretical value for a call or a put option based on six variables such as volatility, type of option, underlying stock price, time, strike price, and the risk-free rate. The quantum of speculation is more in the case of stock market derivatives, and hence proper pricing of options eliminates the opportunity for any arbitrage (The Economics Times). The use of this model is for the determination of a European call option, leading to the fact that the latter can be exercised only at the date of expiration.</a:t>
          </a:r>
          <a:endParaRPr sz="1200" b="1"/>
        </a:p>
        <a:p>
          <a:pPr marL="0" lvl="0" indent="0" algn="l" rtl="0">
            <a:spcBef>
              <a:spcPts val="0"/>
            </a:spcBef>
            <a:spcAft>
              <a:spcPts val="0"/>
            </a:spcAft>
            <a:buNone/>
          </a:pPr>
          <a:br>
            <a:rPr lang="en-US" sz="1200" b="1">
              <a:solidFill>
                <a:schemeClr val="dk1"/>
              </a:solidFill>
              <a:latin typeface="Calibri"/>
              <a:ea typeface="Calibri"/>
              <a:cs typeface="Calibri"/>
              <a:sym typeface="Calibri"/>
            </a:rPr>
          </a:br>
          <a:endParaRPr sz="1200" b="1"/>
        </a:p>
      </xdr:txBody>
    </xdr:sp>
    <xdr:clientData fLocksWithSheet="0"/>
  </xdr:oneCellAnchor>
  <xdr:oneCellAnchor>
    <xdr:from>
      <xdr:col>0</xdr:col>
      <xdr:colOff>200025</xdr:colOff>
      <xdr:row>49</xdr:row>
      <xdr:rowOff>123825</xdr:rowOff>
    </xdr:from>
    <xdr:ext cx="3305175" cy="1343025"/>
    <xdr:sp macro="" textlink="">
      <xdr:nvSpPr>
        <xdr:cNvPr id="8" name="Shape 8">
          <a:extLst>
            <a:ext uri="{FF2B5EF4-FFF2-40B4-BE49-F238E27FC236}">
              <a16:creationId xmlns:a16="http://schemas.microsoft.com/office/drawing/2014/main" id="{00000000-0008-0000-0000-000008000000}"/>
            </a:ext>
          </a:extLst>
        </xdr:cNvPr>
        <xdr:cNvSpPr txBox="1"/>
      </xdr:nvSpPr>
      <xdr:spPr>
        <a:xfrm>
          <a:off x="3698175" y="3113250"/>
          <a:ext cx="3295650" cy="13335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2500" b="1" i="0">
              <a:solidFill>
                <a:schemeClr val="dk1"/>
              </a:solidFill>
              <a:latin typeface="Calibri"/>
              <a:ea typeface="Calibri"/>
              <a:cs typeface="Calibri"/>
              <a:sym typeface="Calibri"/>
            </a:rPr>
            <a:t>The assumptions of the Black-Scholes-Merton model</a:t>
          </a:r>
          <a:endParaRPr sz="2500" b="1" i="0"/>
        </a:p>
      </xdr:txBody>
    </xdr:sp>
    <xdr:clientData fLocksWithSheet="0"/>
  </xdr:oneCellAnchor>
  <xdr:oneCellAnchor>
    <xdr:from>
      <xdr:col>6</xdr:col>
      <xdr:colOff>47625</xdr:colOff>
      <xdr:row>43</xdr:row>
      <xdr:rowOff>142875</xdr:rowOff>
    </xdr:from>
    <xdr:ext cx="10220325" cy="4000500"/>
    <xdr:sp macro="" textlink="">
      <xdr:nvSpPr>
        <xdr:cNvPr id="9" name="Shape 9">
          <a:extLst>
            <a:ext uri="{FF2B5EF4-FFF2-40B4-BE49-F238E27FC236}">
              <a16:creationId xmlns:a16="http://schemas.microsoft.com/office/drawing/2014/main" id="{00000000-0008-0000-0000-000009000000}"/>
            </a:ext>
          </a:extLst>
        </xdr:cNvPr>
        <xdr:cNvSpPr txBox="1"/>
      </xdr:nvSpPr>
      <xdr:spPr>
        <a:xfrm>
          <a:off x="240600" y="1779750"/>
          <a:ext cx="10210800" cy="4000500"/>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This option pricing model relies on a plethora of assumptions. Some of them are assumptions are the same as in financial models such as Sharpe (1964), Lintner (1965), and Mossin (1966) Capital Asset Pricing Model (CAPM) and some of them are different from the latter.</a:t>
          </a:r>
          <a:endParaRPr sz="1100" b="0"/>
        </a:p>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The elementary assumptions for the Black-Scholes model to be satisfied are as follows:</a:t>
          </a:r>
          <a:endParaRPr sz="1400"/>
        </a:p>
        <a:p>
          <a:pPr marL="0" lvl="0" indent="0" algn="l" rtl="0">
            <a:spcBef>
              <a:spcPts val="0"/>
            </a:spcBef>
            <a:spcAft>
              <a:spcPts val="0"/>
            </a:spcAft>
            <a:buNone/>
          </a:pPr>
          <a:endParaRPr sz="1100" b="0"/>
        </a:p>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	- The fact that there are no restrictions, taxes, and limitations on security tradings, these security markets are frictionless. </a:t>
          </a:r>
          <a:endParaRPr sz="1400"/>
        </a:p>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	- During the lifetime of the option, there are no additional payments from the underlying assets</a:t>
          </a:r>
          <a:endParaRPr sz="1400"/>
        </a:p>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	- The risk-free interest rate is constant for the whole lifespan of the option, thus investors can borrow or lend at that same rate</a:t>
          </a:r>
          <a:endParaRPr sz="1400"/>
        </a:p>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	- No riskless arbitrage opportunities</a:t>
          </a:r>
          <a:endParaRPr sz="1400"/>
        </a:p>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	- Continuous trading in assets throughout time</a:t>
          </a:r>
          <a:endParaRPr sz="1400"/>
        </a:p>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	- The price of the underlying asset has a lognormal distribution and evolves with continuous sample paths according to the Brownian motion process</a:t>
          </a:r>
          <a:endParaRPr sz="1400"/>
        </a:p>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	- More is preferred to less by investors and they agree on the function of underlying asset’s variance 2, which is considered to be constant</a:t>
          </a:r>
          <a:endParaRPr sz="1400"/>
        </a:p>
        <a:p>
          <a:pPr marL="0" lvl="0" indent="0" algn="l" rtl="0">
            <a:spcBef>
              <a:spcPts val="0"/>
            </a:spcBef>
            <a:spcAft>
              <a:spcPts val="0"/>
            </a:spcAft>
            <a:buNone/>
          </a:pPr>
          <a:br>
            <a:rPr lang="en-US" sz="1100" b="0">
              <a:solidFill>
                <a:schemeClr val="dk1"/>
              </a:solidFill>
              <a:latin typeface="Calibri"/>
              <a:ea typeface="Calibri"/>
              <a:cs typeface="Calibri"/>
              <a:sym typeface="Calibri"/>
            </a:rPr>
          </a:br>
          <a:r>
            <a:rPr lang="en-US" sz="1100" b="0" i="0" u="none" strike="noStrike">
              <a:solidFill>
                <a:schemeClr val="dk1"/>
              </a:solidFill>
              <a:latin typeface="Calibri"/>
              <a:ea typeface="Calibri"/>
              <a:cs typeface="Calibri"/>
              <a:sym typeface="Calibri"/>
            </a:rPr>
            <a:t>Considering the fact that these assumptions are satisfied, the Black-Scholes formula is obtained.</a:t>
          </a:r>
          <a:endParaRPr sz="1400"/>
        </a:p>
        <a:p>
          <a:pPr marL="0" lvl="0" indent="0" algn="l" rtl="0">
            <a:spcBef>
              <a:spcPts val="0"/>
            </a:spcBef>
            <a:spcAft>
              <a:spcPts val="0"/>
            </a:spcAft>
            <a:buNone/>
          </a:pPr>
          <a:endParaRPr sz="1100" b="0"/>
        </a:p>
        <a:p>
          <a:pPr marL="0" lvl="0" indent="0" algn="l" rtl="0">
            <a:spcBef>
              <a:spcPts val="0"/>
            </a:spcBef>
            <a:spcAft>
              <a:spcPts val="0"/>
            </a:spcAft>
            <a:buNone/>
          </a:pPr>
          <a:r>
            <a:rPr lang="en-US" sz="1100" b="0" i="0" u="none" strike="noStrike">
              <a:solidFill>
                <a:schemeClr val="dk1"/>
              </a:solidFill>
              <a:latin typeface="Calibri"/>
              <a:ea typeface="Calibri"/>
              <a:cs typeface="Calibri"/>
              <a:sym typeface="Calibri"/>
            </a:rPr>
            <a:t>The mathematical formulae applied for both a call and a put option and it is as follows:</a:t>
          </a:r>
          <a:endParaRPr sz="1100" b="0"/>
        </a:p>
        <a:p>
          <a:pPr marL="0" lvl="0" indent="0" algn="l" rtl="0">
            <a:spcBef>
              <a:spcPts val="0"/>
            </a:spcBef>
            <a:spcAft>
              <a:spcPts val="0"/>
            </a:spcAft>
            <a:buNone/>
          </a:pPr>
          <a:br>
            <a:rPr lang="en-US" sz="1100">
              <a:solidFill>
                <a:schemeClr val="dk1"/>
              </a:solidFill>
              <a:latin typeface="Calibri"/>
              <a:ea typeface="Calibri"/>
              <a:cs typeface="Calibri"/>
              <a:sym typeface="Calibri"/>
            </a:rPr>
          </a:br>
          <a:r>
            <a:rPr lang="en-US" sz="1100">
              <a:solidFill>
                <a:schemeClr val="dk1"/>
              </a:solidFill>
              <a:latin typeface="Calibri"/>
              <a:ea typeface="Calibri"/>
              <a:cs typeface="Calibri"/>
              <a:sym typeface="Calibri"/>
            </a:rPr>
            <a:t>					</a:t>
          </a:r>
          <a:endParaRPr sz="1400"/>
        </a:p>
        <a:p>
          <a:pPr marL="0" lvl="0" indent="0" algn="l" rtl="0">
            <a:spcBef>
              <a:spcPts val="0"/>
            </a:spcBef>
            <a:spcAft>
              <a:spcPts val="0"/>
            </a:spcAft>
            <a:buNone/>
          </a:pPr>
          <a:endParaRPr sz="1100"/>
        </a:p>
        <a:p>
          <a:pPr marL="0" lvl="0" indent="0" algn="l" rtl="0">
            <a:spcBef>
              <a:spcPts val="0"/>
            </a:spcBef>
            <a:spcAft>
              <a:spcPts val="0"/>
            </a:spcAft>
            <a:buNone/>
          </a:pPr>
          <a:r>
            <a:rPr lang="en-US" sz="1100">
              <a:solidFill>
                <a:schemeClr val="dk1"/>
              </a:solidFill>
              <a:latin typeface="Calibri"/>
              <a:ea typeface="Calibri"/>
              <a:cs typeface="Calibri"/>
              <a:sym typeface="Calibri"/>
            </a:rPr>
            <a:t>				   where			                   </a:t>
          </a:r>
          <a:endParaRPr sz="1100"/>
        </a:p>
      </xdr:txBody>
    </xdr:sp>
    <xdr:clientData fLocksWithSheet="0"/>
  </xdr:oneCellAnchor>
  <xdr:oneCellAnchor>
    <xdr:from>
      <xdr:col>7</xdr:col>
      <xdr:colOff>314325</xdr:colOff>
      <xdr:row>64</xdr:row>
      <xdr:rowOff>0</xdr:rowOff>
    </xdr:from>
    <xdr:ext cx="8867775" cy="1543050"/>
    <xdr:sp macro="" textlink="">
      <xdr:nvSpPr>
        <xdr:cNvPr id="10" name="Shape 10">
          <a:extLst>
            <a:ext uri="{FF2B5EF4-FFF2-40B4-BE49-F238E27FC236}">
              <a16:creationId xmlns:a16="http://schemas.microsoft.com/office/drawing/2014/main" id="{00000000-0008-0000-0000-00000A000000}"/>
            </a:ext>
          </a:extLst>
        </xdr:cNvPr>
        <xdr:cNvSpPr txBox="1"/>
      </xdr:nvSpPr>
      <xdr:spPr>
        <a:xfrm>
          <a:off x="916875" y="3013238"/>
          <a:ext cx="8858250" cy="1533525"/>
        </a:xfrm>
        <a:prstGeom prst="rect">
          <a:avLst/>
        </a:prstGeom>
        <a:solidFill>
          <a:schemeClr val="lt1"/>
        </a:solidFill>
        <a:ln w="9525" cap="flat" cmpd="sng">
          <a:solidFill>
            <a:srgbClr val="BABABA"/>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None/>
          </a:pPr>
          <a:r>
            <a:rPr lang="en-US" sz="1100" i="1">
              <a:solidFill>
                <a:schemeClr val="dk1"/>
              </a:solidFill>
              <a:latin typeface="Calibri"/>
              <a:ea typeface="Calibri"/>
              <a:cs typeface="Calibri"/>
              <a:sym typeface="Calibri"/>
            </a:rPr>
            <a:t>with : </a:t>
          </a:r>
          <a:endParaRPr sz="1400"/>
        </a:p>
        <a:p>
          <a:pPr marL="0" lvl="0" indent="0" algn="l" rtl="0">
            <a:spcBef>
              <a:spcPts val="0"/>
            </a:spcBef>
            <a:spcAft>
              <a:spcPts val="0"/>
            </a:spcAft>
            <a:buNone/>
          </a:pPr>
          <a:r>
            <a:rPr lang="en-US" sz="1100" b="0" i="1" u="none" strike="noStrike">
              <a:solidFill>
                <a:schemeClr val="dk1"/>
              </a:solidFill>
              <a:latin typeface="Calibri"/>
              <a:ea typeface="Calibri"/>
              <a:cs typeface="Calibri"/>
              <a:sym typeface="Calibri"/>
            </a:rPr>
            <a:t>	- N(𝑥) is the cumulative probability function for a variable with standard normal distribution N(0,1) with a mean of 0 and a variance of 1.</a:t>
          </a:r>
          <a:endParaRPr sz="1400"/>
        </a:p>
        <a:p>
          <a:pPr marL="0" lvl="0" indent="0" algn="l" rtl="0">
            <a:spcBef>
              <a:spcPts val="0"/>
            </a:spcBef>
            <a:spcAft>
              <a:spcPts val="0"/>
            </a:spcAft>
            <a:buNone/>
          </a:pPr>
          <a:r>
            <a:rPr lang="en-US" sz="1100" b="0" i="1" u="none" strike="noStrike">
              <a:solidFill>
                <a:schemeClr val="dk1"/>
              </a:solidFill>
              <a:latin typeface="Calibri"/>
              <a:ea typeface="Calibri"/>
              <a:cs typeface="Calibri"/>
              <a:sym typeface="Calibri"/>
            </a:rPr>
            <a:t>	-  C and P are the prices of European call and put options respectively</a:t>
          </a:r>
          <a:endParaRPr sz="1400"/>
        </a:p>
        <a:p>
          <a:pPr marL="0" lvl="0" indent="0" algn="l" rtl="0">
            <a:spcBef>
              <a:spcPts val="0"/>
            </a:spcBef>
            <a:spcAft>
              <a:spcPts val="0"/>
            </a:spcAft>
            <a:buNone/>
          </a:pPr>
          <a:r>
            <a:rPr lang="en-US" sz="1100" b="0" i="1" u="none" strike="noStrike">
              <a:solidFill>
                <a:schemeClr val="dk1"/>
              </a:solidFill>
              <a:latin typeface="Calibri"/>
              <a:ea typeface="Calibri"/>
              <a:cs typeface="Calibri"/>
              <a:sym typeface="Calibri"/>
            </a:rPr>
            <a:t>	- S0 is the underlying asset  price</a:t>
          </a:r>
          <a:endParaRPr sz="1400"/>
        </a:p>
        <a:p>
          <a:pPr marL="0" lvl="0" indent="0" algn="l" rtl="0">
            <a:spcBef>
              <a:spcPts val="0"/>
            </a:spcBef>
            <a:spcAft>
              <a:spcPts val="0"/>
            </a:spcAft>
            <a:buNone/>
          </a:pPr>
          <a:r>
            <a:rPr lang="en-US" sz="1100" b="0" i="1" u="none" strike="noStrike">
              <a:solidFill>
                <a:schemeClr val="dk1"/>
              </a:solidFill>
              <a:latin typeface="Calibri"/>
              <a:ea typeface="Calibri"/>
              <a:cs typeface="Calibri"/>
              <a:sym typeface="Calibri"/>
            </a:rPr>
            <a:t>	- X is the strike price, is the volatility</a:t>
          </a:r>
          <a:endParaRPr sz="1400"/>
        </a:p>
        <a:p>
          <a:pPr marL="0" lvl="0" indent="0" algn="l" rtl="0">
            <a:spcBef>
              <a:spcPts val="0"/>
            </a:spcBef>
            <a:spcAft>
              <a:spcPts val="0"/>
            </a:spcAft>
            <a:buNone/>
          </a:pPr>
          <a:r>
            <a:rPr lang="en-US" sz="1100" b="0" i="1" u="none" strike="noStrike">
              <a:solidFill>
                <a:schemeClr val="dk1"/>
              </a:solidFill>
              <a:latin typeface="Calibri"/>
              <a:ea typeface="Calibri"/>
              <a:cs typeface="Calibri"/>
              <a:sym typeface="Calibri"/>
            </a:rPr>
            <a:t> 	- r is the continuously compounded risk-free interest rate</a:t>
          </a:r>
          <a:endParaRPr sz="1400"/>
        </a:p>
        <a:p>
          <a:pPr marL="0" lvl="0" indent="0" algn="l" rtl="0">
            <a:spcBef>
              <a:spcPts val="0"/>
            </a:spcBef>
            <a:spcAft>
              <a:spcPts val="0"/>
            </a:spcAft>
            <a:buNone/>
          </a:pPr>
          <a:r>
            <a:rPr lang="en-US" sz="1100" b="0" i="1" u="none" strike="noStrike">
              <a:solidFill>
                <a:schemeClr val="dk1"/>
              </a:solidFill>
              <a:latin typeface="Calibri"/>
              <a:ea typeface="Calibri"/>
              <a:cs typeface="Calibri"/>
              <a:sym typeface="Calibri"/>
            </a:rPr>
            <a:t> 	- q is the continuously compounded dividend yield </a:t>
          </a:r>
          <a:endParaRPr sz="1400"/>
        </a:p>
        <a:p>
          <a:pPr marL="0" lvl="0" indent="0" algn="l" rtl="0">
            <a:spcBef>
              <a:spcPts val="0"/>
            </a:spcBef>
            <a:spcAft>
              <a:spcPts val="0"/>
            </a:spcAft>
            <a:buNone/>
          </a:pPr>
          <a:r>
            <a:rPr lang="en-US" sz="1100" b="0" i="1" u="none" strike="noStrike">
              <a:solidFill>
                <a:schemeClr val="dk1"/>
              </a:solidFill>
              <a:latin typeface="Calibri"/>
              <a:ea typeface="Calibri"/>
              <a:cs typeface="Calibri"/>
              <a:sym typeface="Calibri"/>
            </a:rPr>
            <a:t>	- t is the time to maturity.</a:t>
          </a:r>
          <a:endParaRPr sz="1400"/>
        </a:p>
        <a:p>
          <a:pPr marL="0" lvl="0" indent="0" algn="l" rtl="0">
            <a:spcBef>
              <a:spcPts val="0"/>
            </a:spcBef>
            <a:spcAft>
              <a:spcPts val="0"/>
            </a:spcAft>
            <a:buNone/>
          </a:pPr>
          <a:endParaRPr sz="1100"/>
        </a:p>
      </xdr:txBody>
    </xdr:sp>
    <xdr:clientData fLocksWithSheet="0"/>
  </xdr:oneCellAnchor>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11</xdr:col>
      <xdr:colOff>361950</xdr:colOff>
      <xdr:row>6</xdr:row>
      <xdr:rowOff>152400</xdr:rowOff>
    </xdr:from>
    <xdr:ext cx="266700" cy="276225"/>
    <xdr:pic>
      <xdr:nvPicPr>
        <xdr:cNvPr id="11" name="image3.png">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6</xdr:col>
      <xdr:colOff>504825</xdr:colOff>
      <xdr:row>58</xdr:row>
      <xdr:rowOff>19050</xdr:rowOff>
    </xdr:from>
    <xdr:ext cx="3324225" cy="904875"/>
    <xdr:pic>
      <xdr:nvPicPr>
        <xdr:cNvPr id="12" name="image4.png">
          <a:extLst>
            <a:ext uri="{FF2B5EF4-FFF2-40B4-BE49-F238E27FC236}">
              <a16:creationId xmlns:a16="http://schemas.microsoft.com/office/drawing/2014/main" id="{00000000-0008-0000-0000-00000C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13</xdr:col>
      <xdr:colOff>304800</xdr:colOff>
      <xdr:row>57</xdr:row>
      <xdr:rowOff>47625</xdr:rowOff>
    </xdr:from>
    <xdr:ext cx="2667000" cy="1200150"/>
    <xdr:pic>
      <xdr:nvPicPr>
        <xdr:cNvPr id="13" name="image2.png">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19</xdr:col>
          <xdr:colOff>127000</xdr:colOff>
          <xdr:row>0</xdr:row>
          <xdr:rowOff>114300</xdr:rowOff>
        </xdr:from>
        <xdr:to>
          <xdr:col>21</xdr:col>
          <xdr:colOff>431800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5770D91F-851F-A642-9793-3A21FCDD716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2295525</xdr:colOff>
      <xdr:row>0</xdr:row>
      <xdr:rowOff>180975</xdr:rowOff>
    </xdr:from>
    <xdr:ext cx="9144000" cy="6191250"/>
    <xdr:graphicFrame macro="">
      <xdr:nvGraphicFramePr>
        <xdr:cNvPr id="90120729" name="Chart 1">
          <a:extLst>
            <a:ext uri="{FF2B5EF4-FFF2-40B4-BE49-F238E27FC236}">
              <a16:creationId xmlns:a16="http://schemas.microsoft.com/office/drawing/2014/main" id="{00000000-0008-0000-0100-000019225F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mc:AlternateContent xmlns:mc="http://schemas.openxmlformats.org/markup-compatibility/2006">
    <mc:Choice xmlns:a14="http://schemas.microsoft.com/office/drawing/2010/main" Requires="a14">
      <xdr:twoCellAnchor>
        <xdr:from>
          <xdr:col>2</xdr:col>
          <xdr:colOff>520700</xdr:colOff>
          <xdr:row>2</xdr:row>
          <xdr:rowOff>165100</xdr:rowOff>
        </xdr:from>
        <xdr:to>
          <xdr:col>3</xdr:col>
          <xdr:colOff>1384300</xdr:colOff>
          <xdr:row>5</xdr:row>
          <xdr:rowOff>25400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Binomial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114300</xdr:rowOff>
        </xdr:from>
        <xdr:to>
          <xdr:col>3</xdr:col>
          <xdr:colOff>1371600</xdr:colOff>
          <xdr:row>8</xdr:row>
          <xdr:rowOff>139700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Run B&amp;S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508000</xdr:colOff>
          <xdr:row>10</xdr:row>
          <xdr:rowOff>88900</xdr:rowOff>
        </xdr:from>
        <xdr:to>
          <xdr:col>3</xdr:col>
          <xdr:colOff>1346200</xdr:colOff>
          <xdr:row>12</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863600</xdr:colOff>
          <xdr:row>6</xdr:row>
          <xdr:rowOff>177800</xdr:rowOff>
        </xdr:from>
        <xdr:to>
          <xdr:col>8</xdr:col>
          <xdr:colOff>444500</xdr:colOff>
          <xdr:row>8</xdr:row>
          <xdr:rowOff>177800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292100</xdr:colOff>
          <xdr:row>6</xdr:row>
          <xdr:rowOff>152400</xdr:rowOff>
        </xdr:from>
        <xdr:to>
          <xdr:col>11</xdr:col>
          <xdr:colOff>63500</xdr:colOff>
          <xdr:row>8</xdr:row>
          <xdr:rowOff>177800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829733</xdr:colOff>
          <xdr:row>1</xdr:row>
          <xdr:rowOff>452966</xdr:rowOff>
        </xdr:from>
        <xdr:to>
          <xdr:col>11</xdr:col>
          <xdr:colOff>0</xdr:colOff>
          <xdr:row>3</xdr:row>
          <xdr:rowOff>135467</xdr:rowOff>
        </xdr:to>
        <xdr:sp macro="" textlink="">
          <xdr:nvSpPr>
            <xdr:cNvPr id="3075" name="Button 3" hidden="1">
              <a:extLst>
                <a:ext uri="{63B3BB69-23CF-44E3-9099-C40C66FF867C}">
                  <a14:compatExt spid="_x0000_s3075"/>
                </a:ext>
                <a:ext uri="{FF2B5EF4-FFF2-40B4-BE49-F238E27FC236}">
                  <a16:creationId xmlns:a16="http://schemas.microsoft.com/office/drawing/2014/main" id="{ACBA7182-496E-AB4B-A76F-9B3F06013C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200" b="0" i="0" u="none" strike="noStrike" baseline="0">
                  <a:solidFill>
                    <a:srgbClr val="000000"/>
                  </a:solidFill>
                  <a:latin typeface="Calibri" pitchFamily="2" charset="0"/>
                  <a:cs typeface="Calibri" pitchFamily="2" charset="0"/>
                </a:rPr>
                <a:t>Calculate Hedge Ratio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203200</xdr:colOff>
          <xdr:row>2</xdr:row>
          <xdr:rowOff>101600</xdr:rowOff>
        </xdr:from>
        <xdr:to>
          <xdr:col>7</xdr:col>
          <xdr:colOff>520700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6</xdr:row>
          <xdr:rowOff>139700</xdr:rowOff>
        </xdr:from>
        <xdr:to>
          <xdr:col>7</xdr:col>
          <xdr:colOff>495300</xdr:colOff>
          <xdr:row>11</xdr:row>
          <xdr:rowOff>63500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Arial" pitchFamily="2" charset="0"/>
                  <a:cs typeface="Arial" pitchFamily="2" charset="0"/>
                </a:rPr>
                <a:t>Go to Inputs Sheet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Q2:T45" totalsRowCount="1">
  <tableColumns count="4">
    <tableColumn id="1" xr3:uid="{00000000-0010-0000-0000-000001000000}" name="Year"/>
    <tableColumn id="2" xr3:uid="{00000000-0010-0000-0000-000002000000}" name="Dividends"/>
    <tableColumn id="3" xr3:uid="{00000000-0010-0000-0000-000003000000}" name="Close"/>
    <tableColumn id="4" xr3:uid="{00000000-0010-0000-0000-000004000000}" name="Dividends (%)" totalsRowFunction="custom" totalsRowDxfId="7">
      <totalsRowFormula>AVERAGE(Table_1[Dividends (%)])</totalsRowFormula>
    </tableColumn>
  </tableColumns>
  <tableStyleInfo name="Market Data-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4B2909-79F0-F645-B842-671268EE8978}" name="Table3" displayName="Table3" ref="I2:L85" totalsRowShown="0" headerRowDxfId="3">
  <autoFilter ref="I2:L85" xr:uid="{844B2909-79F0-F645-B842-671268EE8978}"/>
  <tableColumns count="4">
    <tableColumn id="1" xr3:uid="{15318D3D-8C30-384A-B6E5-D6DF5C9EA2D0}" name="Date" dataDxfId="6"/>
    <tableColumn id="2" xr3:uid="{C6359323-AB27-A14A-BEA9-094AED62BD8E}" name="Close"/>
    <tableColumn id="3" xr3:uid="{9173EA9D-74C3-364C-9F45-DC8FA37F7323}" name="Yearly Returns" dataDxfId="5" dataCellStyle="Percent"/>
    <tableColumn id="4" xr3:uid="{F4CDBD46-C3C0-2B4C-ABA3-64FA7CFA55C3}" name="Returns" dataDxfId="4" dataCellStyle="Percent"/>
  </tableColumns>
  <tableStyleInfo name="Market Data-sty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2:A4">
  <tableColumns count="1">
    <tableColumn id="1" xr3:uid="{00000000-0010-0000-0100-000001000000}" name="type_options_list"/>
  </tableColumns>
  <tableStyleInfo name="Aux-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jardieljr/derivatives" TargetMode="Externa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4"/>
  <sheetViews>
    <sheetView showGridLines="0" workbookViewId="0">
      <selection activeCell="T6" sqref="T6"/>
    </sheetView>
  </sheetViews>
  <sheetFormatPr baseColWidth="10" defaultColWidth="12.6640625" defaultRowHeight="15" customHeight="1" x14ac:dyDescent="0.15"/>
  <cols>
    <col min="1" max="26" width="7.6640625" customWidth="1"/>
  </cols>
  <sheetData>
    <row r="1" spans="1:14" ht="16" x14ac:dyDescent="0.2">
      <c r="C1" s="68" t="s">
        <v>0</v>
      </c>
      <c r="D1" s="69"/>
      <c r="E1" s="69"/>
      <c r="F1" s="69"/>
      <c r="G1" s="69"/>
      <c r="H1" s="69"/>
      <c r="I1" s="69"/>
      <c r="J1" s="69"/>
      <c r="K1" s="70"/>
      <c r="M1" s="1" t="s">
        <v>1</v>
      </c>
      <c r="N1" s="1"/>
    </row>
    <row r="2" spans="1:14" ht="16" x14ac:dyDescent="0.2">
      <c r="C2" s="71"/>
      <c r="D2" s="72"/>
      <c r="E2" s="72"/>
      <c r="F2" s="72"/>
      <c r="G2" s="72"/>
      <c r="H2" s="72"/>
      <c r="I2" s="72"/>
      <c r="J2" s="72"/>
      <c r="K2" s="73"/>
      <c r="M2" s="1"/>
      <c r="N2" s="1" t="s">
        <v>2</v>
      </c>
    </row>
    <row r="3" spans="1:14" ht="16" x14ac:dyDescent="0.2">
      <c r="C3" s="71"/>
      <c r="D3" s="72"/>
      <c r="E3" s="72"/>
      <c r="F3" s="72"/>
      <c r="G3" s="72"/>
      <c r="H3" s="72"/>
      <c r="I3" s="72"/>
      <c r="J3" s="72"/>
      <c r="K3" s="73"/>
      <c r="N3" s="1" t="s">
        <v>3</v>
      </c>
    </row>
    <row r="4" spans="1:14" ht="16" x14ac:dyDescent="0.2">
      <c r="C4" s="71"/>
      <c r="D4" s="72"/>
      <c r="E4" s="72"/>
      <c r="F4" s="72"/>
      <c r="G4" s="72"/>
      <c r="H4" s="72"/>
      <c r="I4" s="72"/>
      <c r="J4" s="72"/>
      <c r="K4" s="73"/>
      <c r="N4" s="1" t="s">
        <v>4</v>
      </c>
    </row>
    <row r="5" spans="1:14" ht="16" x14ac:dyDescent="0.2">
      <c r="C5" s="71"/>
      <c r="D5" s="72"/>
      <c r="E5" s="72"/>
      <c r="F5" s="72"/>
      <c r="G5" s="72"/>
      <c r="H5" s="72"/>
      <c r="I5" s="72"/>
      <c r="J5" s="72"/>
      <c r="K5" s="73"/>
      <c r="N5" s="1" t="s">
        <v>5</v>
      </c>
    </row>
    <row r="6" spans="1:14" ht="14" x14ac:dyDescent="0.15">
      <c r="C6" s="71"/>
      <c r="D6" s="72"/>
      <c r="E6" s="72"/>
      <c r="F6" s="72"/>
      <c r="G6" s="72"/>
      <c r="H6" s="72"/>
      <c r="I6" s="72"/>
      <c r="J6" s="72"/>
      <c r="K6" s="73"/>
    </row>
    <row r="7" spans="1:14" ht="14" x14ac:dyDescent="0.15">
      <c r="C7" s="71"/>
      <c r="D7" s="72"/>
      <c r="E7" s="72"/>
      <c r="F7" s="72"/>
      <c r="G7" s="72"/>
      <c r="H7" s="72"/>
      <c r="I7" s="72"/>
      <c r="J7" s="72"/>
      <c r="K7" s="73"/>
    </row>
    <row r="8" spans="1:14" ht="14" x14ac:dyDescent="0.15">
      <c r="C8" s="74"/>
      <c r="D8" s="75"/>
      <c r="E8" s="75"/>
      <c r="F8" s="75"/>
      <c r="G8" s="75"/>
      <c r="H8" s="75"/>
      <c r="I8" s="75"/>
      <c r="J8" s="75"/>
      <c r="K8" s="76"/>
      <c r="M8" s="2" t="s">
        <v>6</v>
      </c>
    </row>
    <row r="12" spans="1:14" ht="19" x14ac:dyDescent="0.25">
      <c r="A12" s="3" t="s">
        <v>7</v>
      </c>
    </row>
    <row r="13" spans="1:14" ht="19" x14ac:dyDescent="0.25">
      <c r="B13" s="4" t="s">
        <v>8</v>
      </c>
    </row>
    <row r="14" spans="1:14" ht="19" x14ac:dyDescent="0.25">
      <c r="B14" s="4" t="s">
        <v>9</v>
      </c>
    </row>
    <row r="16" spans="1:14" ht="17" x14ac:dyDescent="0.2">
      <c r="A16" s="5"/>
    </row>
    <row r="17" spans="1:26" ht="17" x14ac:dyDescent="0.2">
      <c r="A17" s="5"/>
      <c r="B17" s="6"/>
      <c r="C17" s="6"/>
      <c r="D17" s="6"/>
      <c r="E17" s="6"/>
      <c r="F17" s="6"/>
      <c r="G17" s="6"/>
      <c r="H17" s="6"/>
      <c r="I17" s="6"/>
      <c r="J17" s="6"/>
      <c r="K17" s="6"/>
      <c r="L17" s="6"/>
      <c r="M17" s="6"/>
      <c r="N17" s="6"/>
      <c r="O17" s="6"/>
      <c r="P17" s="6"/>
      <c r="Q17" s="6"/>
      <c r="R17" s="6"/>
      <c r="S17" s="6"/>
      <c r="T17" s="6"/>
      <c r="U17" s="6"/>
      <c r="V17" s="6"/>
      <c r="W17" s="6"/>
      <c r="X17" s="6"/>
      <c r="Y17" s="6"/>
      <c r="Z17" s="6"/>
    </row>
    <row r="18" spans="1:26" ht="17" x14ac:dyDescent="0.2">
      <c r="A18" s="5"/>
      <c r="B18" s="6"/>
      <c r="C18" s="6"/>
      <c r="D18" s="6"/>
      <c r="E18" s="6"/>
      <c r="F18" s="6"/>
      <c r="G18" s="6"/>
      <c r="H18" s="6"/>
      <c r="I18" s="6"/>
      <c r="J18" s="6"/>
      <c r="K18" s="6"/>
      <c r="L18" s="6"/>
      <c r="M18" s="6"/>
      <c r="N18" s="6"/>
      <c r="O18" s="6"/>
      <c r="P18" s="6"/>
      <c r="Q18" s="6"/>
      <c r="R18" s="6"/>
      <c r="S18" s="6"/>
      <c r="T18" s="6"/>
      <c r="U18" s="6"/>
      <c r="V18" s="6"/>
      <c r="W18" s="6"/>
      <c r="X18" s="6"/>
      <c r="Y18" s="6"/>
      <c r="Z18" s="6"/>
    </row>
    <row r="19" spans="1:26" ht="19" x14ac:dyDescent="0.25">
      <c r="A19" s="4"/>
      <c r="B19" s="6"/>
      <c r="C19" s="6"/>
      <c r="D19" s="6"/>
      <c r="E19" s="6"/>
      <c r="F19" s="6"/>
      <c r="G19" s="6"/>
      <c r="H19" s="6"/>
      <c r="I19" s="6"/>
      <c r="J19" s="6"/>
      <c r="K19" s="6"/>
      <c r="L19" s="6"/>
      <c r="M19" s="6"/>
      <c r="N19" s="6"/>
      <c r="O19" s="6"/>
      <c r="P19" s="6"/>
      <c r="Q19" s="6"/>
      <c r="R19" s="6"/>
      <c r="S19" s="6"/>
      <c r="T19" s="6"/>
      <c r="U19" s="6"/>
      <c r="V19" s="6"/>
      <c r="W19" s="6"/>
      <c r="X19" s="6"/>
      <c r="Y19" s="6"/>
      <c r="Z19" s="6"/>
    </row>
    <row r="20" spans="1:26" ht="19" x14ac:dyDescent="0.25">
      <c r="A20" s="4"/>
      <c r="B20" s="6"/>
      <c r="C20" s="6"/>
      <c r="D20" s="6"/>
      <c r="E20" s="6"/>
      <c r="F20" s="6"/>
      <c r="G20" s="6"/>
      <c r="H20" s="6"/>
      <c r="I20" s="6"/>
      <c r="J20" s="6"/>
      <c r="K20" s="6"/>
      <c r="L20" s="6"/>
      <c r="M20" s="6"/>
      <c r="N20" s="6"/>
      <c r="O20" s="6"/>
      <c r="P20" s="6"/>
      <c r="Q20" s="6"/>
      <c r="R20" s="6"/>
      <c r="S20" s="6"/>
      <c r="T20" s="6"/>
      <c r="U20" s="6"/>
      <c r="V20" s="6"/>
      <c r="W20" s="6"/>
      <c r="X20" s="6"/>
      <c r="Y20" s="6"/>
      <c r="Z20" s="6"/>
    </row>
    <row r="23" spans="1:26" ht="19" x14ac:dyDescent="0.25">
      <c r="A23" s="4"/>
    </row>
    <row r="25" spans="1:26" ht="15.75" customHeight="1" x14ac:dyDescent="0.15"/>
    <row r="26" spans="1:26" ht="15.75" customHeight="1" x14ac:dyDescent="0.15"/>
    <row r="27" spans="1:26" ht="15.75" customHeight="1" x14ac:dyDescent="0.15"/>
    <row r="28" spans="1:26" ht="15.75" customHeight="1" x14ac:dyDescent="0.15"/>
    <row r="29" spans="1:26" ht="15.75" customHeight="1" x14ac:dyDescent="0.15"/>
    <row r="30" spans="1:26" ht="15.75" customHeight="1" x14ac:dyDescent="0.15"/>
    <row r="31" spans="1:26" ht="15.75" customHeight="1" x14ac:dyDescent="0.15"/>
    <row r="32" spans="1:26"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row r="1001" ht="15.75" customHeight="1" x14ac:dyDescent="0.15"/>
    <row r="1002" ht="15.75" customHeight="1" x14ac:dyDescent="0.15"/>
    <row r="1003" ht="15.75" customHeight="1" x14ac:dyDescent="0.15"/>
    <row r="1004" ht="15.75" customHeight="1" x14ac:dyDescent="0.15"/>
  </sheetData>
  <mergeCells count="1">
    <mergeCell ref="C1:K8"/>
  </mergeCells>
  <hyperlinks>
    <hyperlink ref="M8" r:id="rId1" xr:uid="{00000000-0004-0000-0000-000000000000}"/>
  </hyperlinks>
  <pageMargins left="0.7" right="0.7" top="0.75" bottom="0.75" header="0" footer="0"/>
  <pageSetup orientation="landscape"/>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putsSheet">
                <anchor moveWithCells="1" sizeWithCells="1">
                  <from>
                    <xdr:col>19</xdr:col>
                    <xdr:colOff>127000</xdr:colOff>
                    <xdr:row>0</xdr:row>
                    <xdr:rowOff>114300</xdr:rowOff>
                  </from>
                  <to>
                    <xdr:col>21</xdr:col>
                    <xdr:colOff>431800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E1001"/>
  <sheetViews>
    <sheetView showGridLines="0" tabSelected="1" workbookViewId="0">
      <selection activeCell="D25" sqref="D25"/>
    </sheetView>
  </sheetViews>
  <sheetFormatPr baseColWidth="10" defaultColWidth="12.6640625" defaultRowHeight="15" customHeight="1" x14ac:dyDescent="0.15"/>
  <cols>
    <col min="1" max="1" width="35.83203125" customWidth="1"/>
    <col min="2" max="2" width="9.83203125" customWidth="1"/>
    <col min="3" max="3" width="7.6640625" customWidth="1"/>
    <col min="4" max="4" width="29.5" customWidth="1"/>
    <col min="5" max="23" width="7.6640625" customWidth="1"/>
  </cols>
  <sheetData>
    <row r="3" spans="1:4" ht="14" x14ac:dyDescent="0.15">
      <c r="A3" s="77" t="s">
        <v>10</v>
      </c>
      <c r="B3" s="78"/>
    </row>
    <row r="4" spans="1:4" x14ac:dyDescent="0.2">
      <c r="A4" s="7" t="s">
        <v>11</v>
      </c>
      <c r="B4" s="8" t="s">
        <v>42</v>
      </c>
    </row>
    <row r="5" spans="1:4" x14ac:dyDescent="0.2">
      <c r="A5" s="9" t="s">
        <v>13</v>
      </c>
      <c r="B5" s="10">
        <v>109.78</v>
      </c>
    </row>
    <row r="6" spans="1:4" x14ac:dyDescent="0.2">
      <c r="A6" s="9" t="s">
        <v>14</v>
      </c>
      <c r="B6" s="10">
        <v>100</v>
      </c>
    </row>
    <row r="7" spans="1:4" x14ac:dyDescent="0.2">
      <c r="A7" s="9" t="s">
        <v>15</v>
      </c>
      <c r="B7" s="11">
        <v>1.5900000000000001E-2</v>
      </c>
    </row>
    <row r="8" spans="1:4" x14ac:dyDescent="0.2">
      <c r="A8" s="9" t="s">
        <v>16</v>
      </c>
      <c r="B8" s="11">
        <v>0.35</v>
      </c>
    </row>
    <row r="9" spans="1:4" x14ac:dyDescent="0.2">
      <c r="A9" s="9" t="s">
        <v>17</v>
      </c>
      <c r="B9" s="12">
        <f>13/12</f>
        <v>1.0833333333333333</v>
      </c>
      <c r="D9" s="13"/>
    </row>
    <row r="10" spans="1:4" x14ac:dyDescent="0.2">
      <c r="A10" s="9" t="s">
        <v>18</v>
      </c>
      <c r="B10" s="14">
        <v>0.15920000000000001</v>
      </c>
    </row>
    <row r="11" spans="1:4" x14ac:dyDescent="0.2">
      <c r="A11" s="9" t="s">
        <v>19</v>
      </c>
      <c r="B11" s="14">
        <v>1.8800000000000001E-2</v>
      </c>
    </row>
    <row r="12" spans="1:4" x14ac:dyDescent="0.2">
      <c r="A12" s="9" t="s">
        <v>20</v>
      </c>
      <c r="B12" s="15">
        <v>12</v>
      </c>
    </row>
    <row r="13" spans="1:4" x14ac:dyDescent="0.2">
      <c r="B13" s="16"/>
    </row>
    <row r="14" spans="1:4" x14ac:dyDescent="0.2">
      <c r="B14" s="16"/>
    </row>
    <row r="15" spans="1:4" x14ac:dyDescent="0.2">
      <c r="B15" s="16"/>
    </row>
    <row r="16" spans="1:4" x14ac:dyDescent="0.2">
      <c r="B16" s="16"/>
    </row>
    <row r="17" spans="2:2" x14ac:dyDescent="0.2">
      <c r="B17" s="16"/>
    </row>
    <row r="18" spans="2:2" x14ac:dyDescent="0.2">
      <c r="B18" s="16"/>
    </row>
    <row r="19" spans="2:2" x14ac:dyDescent="0.2">
      <c r="B19" s="16"/>
    </row>
    <row r="20" spans="2:2" x14ac:dyDescent="0.2">
      <c r="B20" s="16"/>
    </row>
    <row r="21" spans="2:2" x14ac:dyDescent="0.2">
      <c r="B21" s="16"/>
    </row>
    <row r="22" spans="2:2" ht="15.75" customHeight="1" x14ac:dyDescent="0.2">
      <c r="B22" s="16"/>
    </row>
    <row r="23" spans="2:2" ht="15.75" customHeight="1" x14ac:dyDescent="0.2">
      <c r="B23" s="16"/>
    </row>
    <row r="24" spans="2:2" ht="15.75" customHeight="1" x14ac:dyDescent="0.2">
      <c r="B24" s="16"/>
    </row>
    <row r="25" spans="2:2" ht="15.75" customHeight="1" x14ac:dyDescent="0.2">
      <c r="B25" s="16"/>
    </row>
    <row r="26" spans="2:2" ht="15.75" customHeight="1" x14ac:dyDescent="0.2">
      <c r="B26" s="16"/>
    </row>
    <row r="27" spans="2:2" ht="15.75" customHeight="1" x14ac:dyDescent="0.2">
      <c r="B27" s="16"/>
    </row>
    <row r="28" spans="2:2" ht="15.75" customHeight="1" x14ac:dyDescent="0.2">
      <c r="B28" s="16"/>
    </row>
    <row r="29" spans="2:2" ht="15.75" customHeight="1" x14ac:dyDescent="0.2">
      <c r="B29" s="16"/>
    </row>
    <row r="30" spans="2:2" ht="15.75" customHeight="1" x14ac:dyDescent="0.2">
      <c r="B30" s="16"/>
    </row>
    <row r="31" spans="2:2" ht="15.75" customHeight="1" x14ac:dyDescent="0.2">
      <c r="B31" s="16"/>
    </row>
    <row r="32" spans="2:2" ht="15.75" customHeight="1" x14ac:dyDescent="0.2">
      <c r="B32" s="16"/>
    </row>
    <row r="33" spans="2:5" ht="15.75" customHeight="1" x14ac:dyDescent="0.2">
      <c r="B33" s="16"/>
    </row>
    <row r="34" spans="2:5" ht="15.75" customHeight="1" x14ac:dyDescent="0.2">
      <c r="B34" s="16"/>
    </row>
    <row r="35" spans="2:5" ht="15.75" customHeight="1" x14ac:dyDescent="0.2">
      <c r="B35" s="16"/>
      <c r="E35" s="61"/>
    </row>
    <row r="36" spans="2:5" ht="15.75" customHeight="1" x14ac:dyDescent="0.2">
      <c r="B36" s="16"/>
    </row>
    <row r="37" spans="2:5" ht="15.75" customHeight="1" x14ac:dyDescent="0.2">
      <c r="B37" s="16"/>
    </row>
    <row r="38" spans="2:5" ht="15.75" customHeight="1" x14ac:dyDescent="0.2">
      <c r="B38" s="16"/>
    </row>
    <row r="39" spans="2:5" ht="15.75" customHeight="1" x14ac:dyDescent="0.2">
      <c r="B39" s="16"/>
    </row>
    <row r="40" spans="2:5" ht="15.75" customHeight="1" x14ac:dyDescent="0.2">
      <c r="B40" s="16"/>
    </row>
    <row r="41" spans="2:5" ht="15.75" customHeight="1" x14ac:dyDescent="0.2">
      <c r="B41" s="16"/>
    </row>
    <row r="42" spans="2:5" ht="15.75" customHeight="1" x14ac:dyDescent="0.2">
      <c r="B42" s="16"/>
    </row>
    <row r="43" spans="2:5" ht="15.75" customHeight="1" x14ac:dyDescent="0.2">
      <c r="B43" s="16"/>
    </row>
    <row r="44" spans="2:5" ht="15.75" customHeight="1" x14ac:dyDescent="0.2">
      <c r="B44" s="16"/>
    </row>
    <row r="45" spans="2:5" ht="15.75" customHeight="1" x14ac:dyDescent="0.2">
      <c r="B45" s="16"/>
    </row>
    <row r="46" spans="2:5" ht="15.75" customHeight="1" x14ac:dyDescent="0.2">
      <c r="B46" s="16"/>
    </row>
    <row r="47" spans="2:5" ht="15.75" customHeight="1" x14ac:dyDescent="0.2">
      <c r="B47" s="16"/>
    </row>
    <row r="48" spans="2:5" ht="15.75" customHeight="1" x14ac:dyDescent="0.2">
      <c r="B48" s="16"/>
    </row>
    <row r="49" spans="2:2" ht="15.75" customHeight="1" x14ac:dyDescent="0.2">
      <c r="B49" s="16"/>
    </row>
    <row r="50" spans="2:2" ht="15.75" customHeight="1" x14ac:dyDescent="0.2">
      <c r="B50" s="16"/>
    </row>
    <row r="51" spans="2:2" ht="15.75" customHeight="1" x14ac:dyDescent="0.2">
      <c r="B51" s="16"/>
    </row>
    <row r="52" spans="2:2" ht="15.75" customHeight="1" x14ac:dyDescent="0.2">
      <c r="B52" s="16"/>
    </row>
    <row r="53" spans="2:2" ht="15.75" customHeight="1" x14ac:dyDescent="0.2">
      <c r="B53" s="16"/>
    </row>
    <row r="54" spans="2:2" ht="15.75" customHeight="1" x14ac:dyDescent="0.2">
      <c r="B54" s="16"/>
    </row>
    <row r="55" spans="2:2" ht="15.75" customHeight="1" x14ac:dyDescent="0.2">
      <c r="B55" s="16"/>
    </row>
    <row r="56" spans="2:2" ht="15.75" customHeight="1" x14ac:dyDescent="0.2">
      <c r="B56" s="16"/>
    </row>
    <row r="57" spans="2:2" ht="15.75" customHeight="1" x14ac:dyDescent="0.2">
      <c r="B57" s="16"/>
    </row>
    <row r="58" spans="2:2" ht="15.75" customHeight="1" x14ac:dyDescent="0.2">
      <c r="B58" s="16"/>
    </row>
    <row r="59" spans="2:2" ht="15.75" customHeight="1" x14ac:dyDescent="0.2">
      <c r="B59" s="16"/>
    </row>
    <row r="60" spans="2:2" ht="15.75" customHeight="1" x14ac:dyDescent="0.2">
      <c r="B60" s="16"/>
    </row>
    <row r="61" spans="2:2" ht="15.75" customHeight="1" x14ac:dyDescent="0.2">
      <c r="B61" s="16"/>
    </row>
    <row r="62" spans="2:2" ht="15.75" customHeight="1" x14ac:dyDescent="0.2">
      <c r="B62" s="16"/>
    </row>
    <row r="63" spans="2:2" ht="15.75" customHeight="1" x14ac:dyDescent="0.2">
      <c r="B63" s="16"/>
    </row>
    <row r="64" spans="2:2" ht="15.75" customHeight="1" x14ac:dyDescent="0.2">
      <c r="B64" s="16"/>
    </row>
    <row r="65" spans="2:2" ht="15.75" customHeight="1" x14ac:dyDescent="0.2">
      <c r="B65" s="16"/>
    </row>
    <row r="66" spans="2:2" ht="15.75" customHeight="1" x14ac:dyDescent="0.2">
      <c r="B66" s="16"/>
    </row>
    <row r="67" spans="2:2" ht="15.75" customHeight="1" x14ac:dyDescent="0.2">
      <c r="B67" s="16"/>
    </row>
    <row r="68" spans="2:2" ht="15.75" customHeight="1" x14ac:dyDescent="0.2">
      <c r="B68" s="16"/>
    </row>
    <row r="69" spans="2:2" ht="15.75" customHeight="1" x14ac:dyDescent="0.2">
      <c r="B69" s="16"/>
    </row>
    <row r="70" spans="2:2" ht="15.75" customHeight="1" x14ac:dyDescent="0.2">
      <c r="B70" s="16"/>
    </row>
    <row r="71" spans="2:2" ht="15.75" customHeight="1" x14ac:dyDescent="0.2">
      <c r="B71" s="16"/>
    </row>
    <row r="72" spans="2:2" ht="15.75" customHeight="1" x14ac:dyDescent="0.2">
      <c r="B72" s="16"/>
    </row>
    <row r="73" spans="2:2" ht="15.75" customHeight="1" x14ac:dyDescent="0.2">
      <c r="B73" s="16"/>
    </row>
    <row r="74" spans="2:2" ht="15.75" customHeight="1" x14ac:dyDescent="0.2">
      <c r="B74" s="16"/>
    </row>
    <row r="75" spans="2:2" ht="15.75" customHeight="1" x14ac:dyDescent="0.2">
      <c r="B75" s="16"/>
    </row>
    <row r="76" spans="2:2" ht="15.75" customHeight="1" x14ac:dyDescent="0.2">
      <c r="B76" s="16"/>
    </row>
    <row r="77" spans="2:2" ht="15.75" customHeight="1" x14ac:dyDescent="0.2">
      <c r="B77" s="16"/>
    </row>
    <row r="78" spans="2:2" ht="15.75" customHeight="1" x14ac:dyDescent="0.2">
      <c r="B78" s="16"/>
    </row>
    <row r="79" spans="2:2" ht="15.75" customHeight="1" x14ac:dyDescent="0.2">
      <c r="B79" s="16"/>
    </row>
    <row r="80" spans="2:2" ht="15.75" customHeight="1" x14ac:dyDescent="0.2">
      <c r="B80" s="16"/>
    </row>
    <row r="81" spans="2:2" ht="15.75" customHeight="1" x14ac:dyDescent="0.2">
      <c r="B81" s="16"/>
    </row>
    <row r="82" spans="2:2" ht="15.75" customHeight="1" x14ac:dyDescent="0.2">
      <c r="B82" s="16"/>
    </row>
    <row r="83" spans="2:2" ht="15.75" customHeight="1" x14ac:dyDescent="0.2">
      <c r="B83" s="16"/>
    </row>
    <row r="84" spans="2:2" ht="15.75" customHeight="1" x14ac:dyDescent="0.2">
      <c r="B84" s="16"/>
    </row>
    <row r="85" spans="2:2" ht="15.75" customHeight="1" x14ac:dyDescent="0.2">
      <c r="B85" s="16"/>
    </row>
    <row r="86" spans="2:2" ht="15.75" customHeight="1" x14ac:dyDescent="0.2">
      <c r="B86" s="16"/>
    </row>
    <row r="87" spans="2:2" ht="15.75" customHeight="1" x14ac:dyDescent="0.2">
      <c r="B87" s="16"/>
    </row>
    <row r="88" spans="2:2" ht="15.75" customHeight="1" x14ac:dyDescent="0.2">
      <c r="B88" s="16"/>
    </row>
    <row r="89" spans="2:2" ht="15.75" customHeight="1" x14ac:dyDescent="0.2">
      <c r="B89" s="16"/>
    </row>
    <row r="90" spans="2:2" ht="15.75" customHeight="1" x14ac:dyDescent="0.2">
      <c r="B90" s="16"/>
    </row>
    <row r="91" spans="2:2" ht="15.75" customHeight="1" x14ac:dyDescent="0.2">
      <c r="B91" s="16"/>
    </row>
    <row r="92" spans="2:2" ht="15.75" customHeight="1" x14ac:dyDescent="0.2">
      <c r="B92" s="16"/>
    </row>
    <row r="93" spans="2:2" ht="15.75" customHeight="1" x14ac:dyDescent="0.2">
      <c r="B93" s="16"/>
    </row>
    <row r="94" spans="2:2" ht="15.75" customHeight="1" x14ac:dyDescent="0.2">
      <c r="B94" s="16"/>
    </row>
    <row r="95" spans="2:2" ht="15.75" customHeight="1" x14ac:dyDescent="0.2">
      <c r="B95" s="16"/>
    </row>
    <row r="96" spans="2:2" ht="15.75" customHeight="1" x14ac:dyDescent="0.2">
      <c r="B96" s="16"/>
    </row>
    <row r="97" spans="2:2" ht="15.75" customHeight="1" x14ac:dyDescent="0.2">
      <c r="B97" s="16"/>
    </row>
    <row r="98" spans="2:2" ht="15.75" customHeight="1" x14ac:dyDescent="0.2">
      <c r="B98" s="16"/>
    </row>
    <row r="99" spans="2:2" ht="15.75" customHeight="1" x14ac:dyDescent="0.2">
      <c r="B99" s="16"/>
    </row>
    <row r="100" spans="2:2" ht="15.75" customHeight="1" x14ac:dyDescent="0.2">
      <c r="B100" s="16"/>
    </row>
    <row r="101" spans="2:2" ht="15.75" customHeight="1" x14ac:dyDescent="0.2">
      <c r="B101" s="16"/>
    </row>
    <row r="102" spans="2:2" ht="15.75" customHeight="1" x14ac:dyDescent="0.2">
      <c r="B102" s="16"/>
    </row>
    <row r="103" spans="2:2" ht="15.75" customHeight="1" x14ac:dyDescent="0.2">
      <c r="B103" s="16"/>
    </row>
    <row r="104" spans="2:2" ht="15.75" customHeight="1" x14ac:dyDescent="0.2">
      <c r="B104" s="16"/>
    </row>
    <row r="105" spans="2:2" ht="15.75" customHeight="1" x14ac:dyDescent="0.2">
      <c r="B105" s="16"/>
    </row>
    <row r="106" spans="2:2" ht="15.75" customHeight="1" x14ac:dyDescent="0.2">
      <c r="B106" s="16"/>
    </row>
    <row r="107" spans="2:2" ht="15.75" customHeight="1" x14ac:dyDescent="0.2">
      <c r="B107" s="16"/>
    </row>
    <row r="108" spans="2:2" ht="15.75" customHeight="1" x14ac:dyDescent="0.2">
      <c r="B108" s="16"/>
    </row>
    <row r="109" spans="2:2" ht="15.75" customHeight="1" x14ac:dyDescent="0.2">
      <c r="B109" s="16"/>
    </row>
    <row r="110" spans="2:2" ht="15.75" customHeight="1" x14ac:dyDescent="0.2">
      <c r="B110" s="16"/>
    </row>
    <row r="111" spans="2:2" ht="15.75" customHeight="1" x14ac:dyDescent="0.2">
      <c r="B111" s="16"/>
    </row>
    <row r="112" spans="2:2" ht="15.75" customHeight="1" x14ac:dyDescent="0.2">
      <c r="B112" s="16"/>
    </row>
    <row r="113" spans="2:2" ht="15.75" customHeight="1" x14ac:dyDescent="0.2">
      <c r="B113" s="16"/>
    </row>
    <row r="114" spans="2:2" ht="15.75" customHeight="1" x14ac:dyDescent="0.2">
      <c r="B114" s="16"/>
    </row>
    <row r="115" spans="2:2" ht="15.75" customHeight="1" x14ac:dyDescent="0.2">
      <c r="B115" s="16"/>
    </row>
    <row r="116" spans="2:2" ht="15.75" customHeight="1" x14ac:dyDescent="0.2">
      <c r="B116" s="16"/>
    </row>
    <row r="117" spans="2:2" ht="15.75" customHeight="1" x14ac:dyDescent="0.2">
      <c r="B117" s="16"/>
    </row>
    <row r="118" spans="2:2" ht="15.75" customHeight="1" x14ac:dyDescent="0.2">
      <c r="B118" s="16"/>
    </row>
    <row r="119" spans="2:2" ht="15.75" customHeight="1" x14ac:dyDescent="0.2">
      <c r="B119" s="16"/>
    </row>
    <row r="120" spans="2:2" ht="15.75" customHeight="1" x14ac:dyDescent="0.2">
      <c r="B120" s="16"/>
    </row>
    <row r="121" spans="2:2" ht="15.75" customHeight="1" x14ac:dyDescent="0.2">
      <c r="B121" s="16"/>
    </row>
    <row r="122" spans="2:2" ht="15.75" customHeight="1" x14ac:dyDescent="0.2">
      <c r="B122" s="16"/>
    </row>
    <row r="123" spans="2:2" ht="15.75" customHeight="1" x14ac:dyDescent="0.2">
      <c r="B123" s="16"/>
    </row>
    <row r="124" spans="2:2" ht="15.75" customHeight="1" x14ac:dyDescent="0.2">
      <c r="B124" s="16"/>
    </row>
    <row r="125" spans="2:2" ht="15.75" customHeight="1" x14ac:dyDescent="0.2">
      <c r="B125" s="16"/>
    </row>
    <row r="126" spans="2:2" ht="15.75" customHeight="1" x14ac:dyDescent="0.2">
      <c r="B126" s="16"/>
    </row>
    <row r="127" spans="2:2" ht="15.75" customHeight="1" x14ac:dyDescent="0.2">
      <c r="B127" s="16"/>
    </row>
    <row r="128" spans="2:2" ht="15.75" customHeight="1" x14ac:dyDescent="0.2">
      <c r="B128" s="16"/>
    </row>
    <row r="129" spans="2:2" ht="15.75" customHeight="1" x14ac:dyDescent="0.2">
      <c r="B129" s="16"/>
    </row>
    <row r="130" spans="2:2" ht="15.75" customHeight="1" x14ac:dyDescent="0.2">
      <c r="B130" s="16"/>
    </row>
    <row r="131" spans="2:2" ht="15.75" customHeight="1" x14ac:dyDescent="0.2">
      <c r="B131" s="16"/>
    </row>
    <row r="132" spans="2:2" ht="15.75" customHeight="1" x14ac:dyDescent="0.2">
      <c r="B132" s="16"/>
    </row>
    <row r="133" spans="2:2" ht="15.75" customHeight="1" x14ac:dyDescent="0.2">
      <c r="B133" s="16"/>
    </row>
    <row r="134" spans="2:2" ht="15.75" customHeight="1" x14ac:dyDescent="0.2">
      <c r="B134" s="16"/>
    </row>
    <row r="135" spans="2:2" ht="15.75" customHeight="1" x14ac:dyDescent="0.2">
      <c r="B135" s="16"/>
    </row>
    <row r="136" spans="2:2" ht="15.75" customHeight="1" x14ac:dyDescent="0.2">
      <c r="B136" s="16"/>
    </row>
    <row r="137" spans="2:2" ht="15.75" customHeight="1" x14ac:dyDescent="0.2">
      <c r="B137" s="16"/>
    </row>
    <row r="138" spans="2:2" ht="15.75" customHeight="1" x14ac:dyDescent="0.2">
      <c r="B138" s="16"/>
    </row>
    <row r="139" spans="2:2" ht="15.75" customHeight="1" x14ac:dyDescent="0.2">
      <c r="B139" s="16"/>
    </row>
    <row r="140" spans="2:2" ht="15.75" customHeight="1" x14ac:dyDescent="0.2">
      <c r="B140" s="16"/>
    </row>
    <row r="141" spans="2:2" ht="15.75" customHeight="1" x14ac:dyDescent="0.2">
      <c r="B141" s="16"/>
    </row>
    <row r="142" spans="2:2" ht="15.75" customHeight="1" x14ac:dyDescent="0.2">
      <c r="B142" s="16"/>
    </row>
    <row r="143" spans="2:2" ht="15.75" customHeight="1" x14ac:dyDescent="0.2">
      <c r="B143" s="16"/>
    </row>
    <row r="144" spans="2:2" ht="15.75" customHeight="1" x14ac:dyDescent="0.2">
      <c r="B144" s="16"/>
    </row>
    <row r="145" spans="2:2" ht="15.75" customHeight="1" x14ac:dyDescent="0.2">
      <c r="B145" s="16"/>
    </row>
    <row r="146" spans="2:2" ht="15.75" customHeight="1" x14ac:dyDescent="0.2">
      <c r="B146" s="16"/>
    </row>
    <row r="147" spans="2:2" ht="15.75" customHeight="1" x14ac:dyDescent="0.2">
      <c r="B147" s="16"/>
    </row>
    <row r="148" spans="2:2" ht="15.75" customHeight="1" x14ac:dyDescent="0.2">
      <c r="B148" s="16"/>
    </row>
    <row r="149" spans="2:2" ht="15.75" customHeight="1" x14ac:dyDescent="0.2">
      <c r="B149" s="16"/>
    </row>
    <row r="150" spans="2:2" ht="15.75" customHeight="1" x14ac:dyDescent="0.2">
      <c r="B150" s="16"/>
    </row>
    <row r="151" spans="2:2" ht="15.75" customHeight="1" x14ac:dyDescent="0.2">
      <c r="B151" s="16"/>
    </row>
    <row r="152" spans="2:2" ht="15.75" customHeight="1" x14ac:dyDescent="0.2">
      <c r="B152" s="16"/>
    </row>
    <row r="153" spans="2:2" ht="15.75" customHeight="1" x14ac:dyDescent="0.2">
      <c r="B153" s="16"/>
    </row>
    <row r="154" spans="2:2" ht="15.75" customHeight="1" x14ac:dyDescent="0.2">
      <c r="B154" s="16"/>
    </row>
    <row r="155" spans="2:2" ht="15.75" customHeight="1" x14ac:dyDescent="0.2">
      <c r="B155" s="16"/>
    </row>
    <row r="156" spans="2:2" ht="15.75" customHeight="1" x14ac:dyDescent="0.2">
      <c r="B156" s="16"/>
    </row>
    <row r="157" spans="2:2" ht="15.75" customHeight="1" x14ac:dyDescent="0.2">
      <c r="B157" s="16"/>
    </row>
    <row r="158" spans="2:2" ht="15.75" customHeight="1" x14ac:dyDescent="0.2">
      <c r="B158" s="16"/>
    </row>
    <row r="159" spans="2:2" ht="15.75" customHeight="1" x14ac:dyDescent="0.2">
      <c r="B159" s="16"/>
    </row>
    <row r="160" spans="2:2" ht="15.75" customHeight="1" x14ac:dyDescent="0.2">
      <c r="B160" s="16"/>
    </row>
    <row r="161" spans="2:2" ht="15.75" customHeight="1" x14ac:dyDescent="0.2">
      <c r="B161" s="16"/>
    </row>
    <row r="162" spans="2:2" ht="15.75" customHeight="1" x14ac:dyDescent="0.2">
      <c r="B162" s="16"/>
    </row>
    <row r="163" spans="2:2" ht="15.75" customHeight="1" x14ac:dyDescent="0.2">
      <c r="B163" s="16"/>
    </row>
    <row r="164" spans="2:2" ht="15.75" customHeight="1" x14ac:dyDescent="0.2">
      <c r="B164" s="16"/>
    </row>
    <row r="165" spans="2:2" ht="15.75" customHeight="1" x14ac:dyDescent="0.2">
      <c r="B165" s="16"/>
    </row>
    <row r="166" spans="2:2" ht="15.75" customHeight="1" x14ac:dyDescent="0.2">
      <c r="B166" s="16"/>
    </row>
    <row r="167" spans="2:2" ht="15.75" customHeight="1" x14ac:dyDescent="0.2">
      <c r="B167" s="16"/>
    </row>
    <row r="168" spans="2:2" ht="15.75" customHeight="1" x14ac:dyDescent="0.2">
      <c r="B168" s="16"/>
    </row>
    <row r="169" spans="2:2" ht="15.75" customHeight="1" x14ac:dyDescent="0.2">
      <c r="B169" s="16"/>
    </row>
    <row r="170" spans="2:2" ht="15.75" customHeight="1" x14ac:dyDescent="0.2">
      <c r="B170" s="16"/>
    </row>
    <row r="171" spans="2:2" ht="15.75" customHeight="1" x14ac:dyDescent="0.2">
      <c r="B171" s="16"/>
    </row>
    <row r="172" spans="2:2" ht="15.75" customHeight="1" x14ac:dyDescent="0.2">
      <c r="B172" s="16"/>
    </row>
    <row r="173" spans="2:2" ht="15.75" customHeight="1" x14ac:dyDescent="0.2">
      <c r="B173" s="16"/>
    </row>
    <row r="174" spans="2:2" ht="15.75" customHeight="1" x14ac:dyDescent="0.2">
      <c r="B174" s="16"/>
    </row>
    <row r="175" spans="2:2" ht="15.75" customHeight="1" x14ac:dyDescent="0.2">
      <c r="B175" s="16"/>
    </row>
    <row r="176" spans="2:2" ht="15.75" customHeight="1" x14ac:dyDescent="0.2">
      <c r="B176" s="16"/>
    </row>
    <row r="177" spans="2:2" ht="15.75" customHeight="1" x14ac:dyDescent="0.2">
      <c r="B177" s="16"/>
    </row>
    <row r="178" spans="2:2" ht="15.75" customHeight="1" x14ac:dyDescent="0.2">
      <c r="B178" s="16"/>
    </row>
    <row r="179" spans="2:2" ht="15.75" customHeight="1" x14ac:dyDescent="0.2">
      <c r="B179" s="16"/>
    </row>
    <row r="180" spans="2:2" ht="15.75" customHeight="1" x14ac:dyDescent="0.2">
      <c r="B180" s="16"/>
    </row>
    <row r="181" spans="2:2" ht="15.75" customHeight="1" x14ac:dyDescent="0.2">
      <c r="B181" s="16"/>
    </row>
    <row r="182" spans="2:2" ht="15.75" customHeight="1" x14ac:dyDescent="0.2">
      <c r="B182" s="16"/>
    </row>
    <row r="183" spans="2:2" ht="15.75" customHeight="1" x14ac:dyDescent="0.2">
      <c r="B183" s="16"/>
    </row>
    <row r="184" spans="2:2" ht="15.75" customHeight="1" x14ac:dyDescent="0.2">
      <c r="B184" s="16"/>
    </row>
    <row r="185" spans="2:2" ht="15.75" customHeight="1" x14ac:dyDescent="0.2">
      <c r="B185" s="16"/>
    </row>
    <row r="186" spans="2:2" ht="15.75" customHeight="1" x14ac:dyDescent="0.2">
      <c r="B186" s="16"/>
    </row>
    <row r="187" spans="2:2" ht="15.75" customHeight="1" x14ac:dyDescent="0.2">
      <c r="B187" s="16"/>
    </row>
    <row r="188" spans="2:2" ht="15.75" customHeight="1" x14ac:dyDescent="0.2">
      <c r="B188" s="16"/>
    </row>
    <row r="189" spans="2:2" ht="15.75" customHeight="1" x14ac:dyDescent="0.2">
      <c r="B189" s="16"/>
    </row>
    <row r="190" spans="2:2" ht="15.75" customHeight="1" x14ac:dyDescent="0.2">
      <c r="B190" s="16"/>
    </row>
    <row r="191" spans="2:2" ht="15.75" customHeight="1" x14ac:dyDescent="0.2">
      <c r="B191" s="16"/>
    </row>
    <row r="192" spans="2:2" ht="15.75" customHeight="1" x14ac:dyDescent="0.2">
      <c r="B192" s="16"/>
    </row>
    <row r="193" spans="2:2" ht="15.75" customHeight="1" x14ac:dyDescent="0.2">
      <c r="B193" s="16"/>
    </row>
    <row r="194" spans="2:2" ht="15.75" customHeight="1" x14ac:dyDescent="0.2">
      <c r="B194" s="16"/>
    </row>
    <row r="195" spans="2:2" ht="15.75" customHeight="1" x14ac:dyDescent="0.2">
      <c r="B195" s="16"/>
    </row>
    <row r="196" spans="2:2" ht="15.75" customHeight="1" x14ac:dyDescent="0.2">
      <c r="B196" s="16"/>
    </row>
    <row r="197" spans="2:2" ht="15.75" customHeight="1" x14ac:dyDescent="0.2">
      <c r="B197" s="16"/>
    </row>
    <row r="198" spans="2:2" ht="15.75" customHeight="1" x14ac:dyDescent="0.2">
      <c r="B198" s="16"/>
    </row>
    <row r="199" spans="2:2" ht="15.75" customHeight="1" x14ac:dyDescent="0.2">
      <c r="B199" s="16"/>
    </row>
    <row r="200" spans="2:2" ht="15.75" customHeight="1" x14ac:dyDescent="0.2">
      <c r="B200" s="16"/>
    </row>
    <row r="201" spans="2:2" ht="15.75" customHeight="1" x14ac:dyDescent="0.2">
      <c r="B201" s="16"/>
    </row>
    <row r="202" spans="2:2" ht="15.75" customHeight="1" x14ac:dyDescent="0.2">
      <c r="B202" s="16"/>
    </row>
    <row r="203" spans="2:2" ht="15.75" customHeight="1" x14ac:dyDescent="0.2">
      <c r="B203" s="16"/>
    </row>
    <row r="204" spans="2:2" ht="15.75" customHeight="1" x14ac:dyDescent="0.2">
      <c r="B204" s="16"/>
    </row>
    <row r="205" spans="2:2" ht="15.75" customHeight="1" x14ac:dyDescent="0.2">
      <c r="B205" s="16"/>
    </row>
    <row r="206" spans="2:2" ht="15.75" customHeight="1" x14ac:dyDescent="0.2">
      <c r="B206" s="16"/>
    </row>
    <row r="207" spans="2:2" ht="15.75" customHeight="1" x14ac:dyDescent="0.2">
      <c r="B207" s="16"/>
    </row>
    <row r="208" spans="2:2" ht="15.75" customHeight="1" x14ac:dyDescent="0.2">
      <c r="B208" s="16"/>
    </row>
    <row r="209" spans="2:2" ht="15.75" customHeight="1" x14ac:dyDescent="0.2">
      <c r="B209" s="16"/>
    </row>
    <row r="210" spans="2:2" ht="15.75" customHeight="1" x14ac:dyDescent="0.2">
      <c r="B210" s="16"/>
    </row>
    <row r="211" spans="2:2" ht="15.75" customHeight="1" x14ac:dyDescent="0.2">
      <c r="B211" s="16"/>
    </row>
    <row r="212" spans="2:2" ht="15.75" customHeight="1" x14ac:dyDescent="0.2">
      <c r="B212" s="16"/>
    </row>
    <row r="213" spans="2:2" ht="15.75" customHeight="1" x14ac:dyDescent="0.2">
      <c r="B213" s="16"/>
    </row>
    <row r="214" spans="2:2" ht="15.75" customHeight="1" x14ac:dyDescent="0.2">
      <c r="B214" s="16"/>
    </row>
    <row r="215" spans="2:2" ht="15.75" customHeight="1" x14ac:dyDescent="0.2">
      <c r="B215" s="16"/>
    </row>
    <row r="216" spans="2:2" ht="15.75" customHeight="1" x14ac:dyDescent="0.2">
      <c r="B216" s="16"/>
    </row>
    <row r="217" spans="2:2" ht="15.75" customHeight="1" x14ac:dyDescent="0.2">
      <c r="B217" s="16"/>
    </row>
    <row r="218" spans="2:2" ht="15.75" customHeight="1" x14ac:dyDescent="0.2">
      <c r="B218" s="16"/>
    </row>
    <row r="219" spans="2:2" ht="15.75" customHeight="1" x14ac:dyDescent="0.2">
      <c r="B219" s="16"/>
    </row>
    <row r="220" spans="2:2" ht="15.75" customHeight="1" x14ac:dyDescent="0.2">
      <c r="B220" s="16"/>
    </row>
    <row r="221" spans="2:2" ht="15.75" customHeight="1" x14ac:dyDescent="0.2">
      <c r="B221" s="16"/>
    </row>
    <row r="222" spans="2:2" ht="15.75" customHeight="1" x14ac:dyDescent="0.2">
      <c r="B222" s="16"/>
    </row>
    <row r="223" spans="2:2" ht="15.75" customHeight="1" x14ac:dyDescent="0.2">
      <c r="B223" s="16"/>
    </row>
    <row r="224" spans="2:2" ht="15.75" customHeight="1" x14ac:dyDescent="0.2">
      <c r="B224" s="16"/>
    </row>
    <row r="225" spans="2:2" ht="15.75" customHeight="1" x14ac:dyDescent="0.2">
      <c r="B225" s="16"/>
    </row>
    <row r="226" spans="2:2" ht="15.75" customHeight="1" x14ac:dyDescent="0.2">
      <c r="B226" s="16"/>
    </row>
    <row r="227" spans="2:2" ht="15.75" customHeight="1" x14ac:dyDescent="0.2">
      <c r="B227" s="16"/>
    </row>
    <row r="228" spans="2:2" ht="15.75" customHeight="1" x14ac:dyDescent="0.2">
      <c r="B228" s="16"/>
    </row>
    <row r="229" spans="2:2" ht="15.75" customHeight="1" x14ac:dyDescent="0.2">
      <c r="B229" s="16"/>
    </row>
    <row r="230" spans="2:2" ht="15.75" customHeight="1" x14ac:dyDescent="0.2">
      <c r="B230" s="16"/>
    </row>
    <row r="231" spans="2:2" ht="15.75" customHeight="1" x14ac:dyDescent="0.2">
      <c r="B231" s="16"/>
    </row>
    <row r="232" spans="2:2" ht="15.75" customHeight="1" x14ac:dyDescent="0.2">
      <c r="B232" s="16"/>
    </row>
    <row r="233" spans="2:2" ht="15.75" customHeight="1" x14ac:dyDescent="0.2">
      <c r="B233" s="16"/>
    </row>
    <row r="234" spans="2:2" ht="15.75" customHeight="1" x14ac:dyDescent="0.2">
      <c r="B234" s="16"/>
    </row>
    <row r="235" spans="2:2" ht="15.75" customHeight="1" x14ac:dyDescent="0.2">
      <c r="B235" s="16"/>
    </row>
    <row r="236" spans="2:2" ht="15.75" customHeight="1" x14ac:dyDescent="0.2">
      <c r="B236" s="16"/>
    </row>
    <row r="237" spans="2:2" ht="15.75" customHeight="1" x14ac:dyDescent="0.2">
      <c r="B237" s="16"/>
    </row>
    <row r="238" spans="2:2" ht="15.75" customHeight="1" x14ac:dyDescent="0.2">
      <c r="B238" s="16"/>
    </row>
    <row r="239" spans="2:2" ht="15.75" customHeight="1" x14ac:dyDescent="0.2">
      <c r="B239" s="16"/>
    </row>
    <row r="240" spans="2:2" ht="15.75" customHeight="1" x14ac:dyDescent="0.2">
      <c r="B240" s="16"/>
    </row>
    <row r="241" spans="2:2" ht="15.75" customHeight="1" x14ac:dyDescent="0.2">
      <c r="B241" s="16"/>
    </row>
    <row r="242" spans="2:2" ht="15.75" customHeight="1" x14ac:dyDescent="0.2">
      <c r="B242" s="16"/>
    </row>
    <row r="243" spans="2:2" ht="15.75" customHeight="1" x14ac:dyDescent="0.2">
      <c r="B243" s="16"/>
    </row>
    <row r="244" spans="2:2" ht="15.75" customHeight="1" x14ac:dyDescent="0.2">
      <c r="B244" s="16"/>
    </row>
    <row r="245" spans="2:2" ht="15.75" customHeight="1" x14ac:dyDescent="0.2">
      <c r="B245" s="16"/>
    </row>
    <row r="246" spans="2:2" ht="15.75" customHeight="1" x14ac:dyDescent="0.2">
      <c r="B246" s="16"/>
    </row>
    <row r="247" spans="2:2" ht="15.75" customHeight="1" x14ac:dyDescent="0.2">
      <c r="B247" s="16"/>
    </row>
    <row r="248" spans="2:2" ht="15.75" customHeight="1" x14ac:dyDescent="0.2">
      <c r="B248" s="16"/>
    </row>
    <row r="249" spans="2:2" ht="15.75" customHeight="1" x14ac:dyDescent="0.2">
      <c r="B249" s="16"/>
    </row>
    <row r="250" spans="2:2" ht="15.75" customHeight="1" x14ac:dyDescent="0.2">
      <c r="B250" s="16"/>
    </row>
    <row r="251" spans="2:2" ht="15.75" customHeight="1" x14ac:dyDescent="0.2">
      <c r="B251" s="16"/>
    </row>
    <row r="252" spans="2:2" ht="15.75" customHeight="1" x14ac:dyDescent="0.2">
      <c r="B252" s="16"/>
    </row>
    <row r="253" spans="2:2" ht="15.75" customHeight="1" x14ac:dyDescent="0.2">
      <c r="B253" s="16"/>
    </row>
    <row r="254" spans="2:2" ht="15.75" customHeight="1" x14ac:dyDescent="0.2">
      <c r="B254" s="16"/>
    </row>
    <row r="255" spans="2:2" ht="15.75" customHeight="1" x14ac:dyDescent="0.2">
      <c r="B255" s="16"/>
    </row>
    <row r="256" spans="2:2" ht="15.75" customHeight="1" x14ac:dyDescent="0.2">
      <c r="B256" s="16"/>
    </row>
    <row r="257" spans="2:2" ht="15.75" customHeight="1" x14ac:dyDescent="0.2">
      <c r="B257" s="16"/>
    </row>
    <row r="258" spans="2:2" ht="15.75" customHeight="1" x14ac:dyDescent="0.2">
      <c r="B258" s="16"/>
    </row>
    <row r="259" spans="2:2" ht="15.75" customHeight="1" x14ac:dyDescent="0.2">
      <c r="B259" s="16"/>
    </row>
    <row r="260" spans="2:2" ht="15.75" customHeight="1" x14ac:dyDescent="0.2">
      <c r="B260" s="16"/>
    </row>
    <row r="261" spans="2:2" ht="15.75" customHeight="1" x14ac:dyDescent="0.2">
      <c r="B261" s="16"/>
    </row>
    <row r="262" spans="2:2" ht="15.75" customHeight="1" x14ac:dyDescent="0.2">
      <c r="B262" s="16"/>
    </row>
    <row r="263" spans="2:2" ht="15.75" customHeight="1" x14ac:dyDescent="0.2">
      <c r="B263" s="16"/>
    </row>
    <row r="264" spans="2:2" ht="15.75" customHeight="1" x14ac:dyDescent="0.2">
      <c r="B264" s="16"/>
    </row>
    <row r="265" spans="2:2" ht="15.75" customHeight="1" x14ac:dyDescent="0.2">
      <c r="B265" s="16"/>
    </row>
    <row r="266" spans="2:2" ht="15.75" customHeight="1" x14ac:dyDescent="0.2">
      <c r="B266" s="16"/>
    </row>
    <row r="267" spans="2:2" ht="15.75" customHeight="1" x14ac:dyDescent="0.2">
      <c r="B267" s="16"/>
    </row>
    <row r="268" spans="2:2" ht="15.75" customHeight="1" x14ac:dyDescent="0.2">
      <c r="B268" s="16"/>
    </row>
    <row r="269" spans="2:2" ht="15.75" customHeight="1" x14ac:dyDescent="0.2">
      <c r="B269" s="16"/>
    </row>
    <row r="270" spans="2:2" ht="15.75" customHeight="1" x14ac:dyDescent="0.2">
      <c r="B270" s="16"/>
    </row>
    <row r="271" spans="2:2" ht="15.75" customHeight="1" x14ac:dyDescent="0.2">
      <c r="B271" s="16"/>
    </row>
    <row r="272" spans="2:2" ht="15.75" customHeight="1" x14ac:dyDescent="0.2">
      <c r="B272" s="16"/>
    </row>
    <row r="273" spans="2:2" ht="15.75" customHeight="1" x14ac:dyDescent="0.2">
      <c r="B273" s="16"/>
    </row>
    <row r="274" spans="2:2" ht="15.75" customHeight="1" x14ac:dyDescent="0.2">
      <c r="B274" s="16"/>
    </row>
    <row r="275" spans="2:2" ht="15.75" customHeight="1" x14ac:dyDescent="0.2">
      <c r="B275" s="16"/>
    </row>
    <row r="276" spans="2:2" ht="15.75" customHeight="1" x14ac:dyDescent="0.2">
      <c r="B276" s="16"/>
    </row>
    <row r="277" spans="2:2" ht="15.75" customHeight="1" x14ac:dyDescent="0.2">
      <c r="B277" s="16"/>
    </row>
    <row r="278" spans="2:2" ht="15.75" customHeight="1" x14ac:dyDescent="0.2">
      <c r="B278" s="16"/>
    </row>
    <row r="279" spans="2:2" ht="15.75" customHeight="1" x14ac:dyDescent="0.2">
      <c r="B279" s="16"/>
    </row>
    <row r="280" spans="2:2" ht="15.75" customHeight="1" x14ac:dyDescent="0.2">
      <c r="B280" s="16"/>
    </row>
    <row r="281" spans="2:2" ht="15.75" customHeight="1" x14ac:dyDescent="0.2">
      <c r="B281" s="16"/>
    </row>
    <row r="282" spans="2:2" ht="15.75" customHeight="1" x14ac:dyDescent="0.2">
      <c r="B282" s="16"/>
    </row>
    <row r="283" spans="2:2" ht="15.75" customHeight="1" x14ac:dyDescent="0.2">
      <c r="B283" s="16"/>
    </row>
    <row r="284" spans="2:2" ht="15.75" customHeight="1" x14ac:dyDescent="0.2">
      <c r="B284" s="16"/>
    </row>
    <row r="285" spans="2:2" ht="15.75" customHeight="1" x14ac:dyDescent="0.2">
      <c r="B285" s="16"/>
    </row>
    <row r="286" spans="2:2" ht="15.75" customHeight="1" x14ac:dyDescent="0.2">
      <c r="B286" s="16"/>
    </row>
    <row r="287" spans="2:2" ht="15.75" customHeight="1" x14ac:dyDescent="0.2">
      <c r="B287" s="16"/>
    </row>
    <row r="288" spans="2:2" ht="15.75" customHeight="1" x14ac:dyDescent="0.2">
      <c r="B288" s="16"/>
    </row>
    <row r="289" spans="2:2" ht="15.75" customHeight="1" x14ac:dyDescent="0.2">
      <c r="B289" s="16"/>
    </row>
    <row r="290" spans="2:2" ht="15.75" customHeight="1" x14ac:dyDescent="0.2">
      <c r="B290" s="16"/>
    </row>
    <row r="291" spans="2:2" ht="15.75" customHeight="1" x14ac:dyDescent="0.2">
      <c r="B291" s="16"/>
    </row>
    <row r="292" spans="2:2" ht="15.75" customHeight="1" x14ac:dyDescent="0.2">
      <c r="B292" s="16"/>
    </row>
    <row r="293" spans="2:2" ht="15.75" customHeight="1" x14ac:dyDescent="0.2">
      <c r="B293" s="16"/>
    </row>
    <row r="294" spans="2:2" ht="15.75" customHeight="1" x14ac:dyDescent="0.2">
      <c r="B294" s="16"/>
    </row>
    <row r="295" spans="2:2" ht="15.75" customHeight="1" x14ac:dyDescent="0.2">
      <c r="B295" s="16"/>
    </row>
    <row r="296" spans="2:2" ht="15.75" customHeight="1" x14ac:dyDescent="0.2">
      <c r="B296" s="16"/>
    </row>
    <row r="297" spans="2:2" ht="15.75" customHeight="1" x14ac:dyDescent="0.2">
      <c r="B297" s="16"/>
    </row>
    <row r="298" spans="2:2" ht="15.75" customHeight="1" x14ac:dyDescent="0.2">
      <c r="B298" s="16"/>
    </row>
    <row r="299" spans="2:2" ht="15.75" customHeight="1" x14ac:dyDescent="0.2">
      <c r="B299" s="16"/>
    </row>
    <row r="300" spans="2:2" ht="15.75" customHeight="1" x14ac:dyDescent="0.2">
      <c r="B300" s="16"/>
    </row>
    <row r="301" spans="2:2" ht="15.75" customHeight="1" x14ac:dyDescent="0.2">
      <c r="B301" s="16"/>
    </row>
    <row r="302" spans="2:2" ht="15.75" customHeight="1" x14ac:dyDescent="0.2">
      <c r="B302" s="16"/>
    </row>
    <row r="303" spans="2:2" ht="15.75" customHeight="1" x14ac:dyDescent="0.2">
      <c r="B303" s="16"/>
    </row>
    <row r="304" spans="2:2" ht="15.75" customHeight="1" x14ac:dyDescent="0.2">
      <c r="B304" s="16"/>
    </row>
    <row r="305" spans="2:2" ht="15.75" customHeight="1" x14ac:dyDescent="0.2">
      <c r="B305" s="16"/>
    </row>
    <row r="306" spans="2:2" ht="15.75" customHeight="1" x14ac:dyDescent="0.2">
      <c r="B306" s="16"/>
    </row>
    <row r="307" spans="2:2" ht="15.75" customHeight="1" x14ac:dyDescent="0.2">
      <c r="B307" s="16"/>
    </row>
    <row r="308" spans="2:2" ht="15.75" customHeight="1" x14ac:dyDescent="0.2">
      <c r="B308" s="16"/>
    </row>
    <row r="309" spans="2:2" ht="15.75" customHeight="1" x14ac:dyDescent="0.2">
      <c r="B309" s="16"/>
    </row>
    <row r="310" spans="2:2" ht="15.75" customHeight="1" x14ac:dyDescent="0.2">
      <c r="B310" s="16"/>
    </row>
    <row r="311" spans="2:2" ht="15.75" customHeight="1" x14ac:dyDescent="0.2">
      <c r="B311" s="16"/>
    </row>
    <row r="312" spans="2:2" ht="15.75" customHeight="1" x14ac:dyDescent="0.2">
      <c r="B312" s="16"/>
    </row>
    <row r="313" spans="2:2" ht="15.75" customHeight="1" x14ac:dyDescent="0.2">
      <c r="B313" s="16"/>
    </row>
    <row r="314" spans="2:2" ht="15.75" customHeight="1" x14ac:dyDescent="0.2">
      <c r="B314" s="16"/>
    </row>
    <row r="315" spans="2:2" ht="15.75" customHeight="1" x14ac:dyDescent="0.2">
      <c r="B315" s="16"/>
    </row>
    <row r="316" spans="2:2" ht="15.75" customHeight="1" x14ac:dyDescent="0.2">
      <c r="B316" s="16"/>
    </row>
    <row r="317" spans="2:2" ht="15.75" customHeight="1" x14ac:dyDescent="0.2">
      <c r="B317" s="16"/>
    </row>
    <row r="318" spans="2:2" ht="15.75" customHeight="1" x14ac:dyDescent="0.2">
      <c r="B318" s="16"/>
    </row>
    <row r="319" spans="2:2" ht="15.75" customHeight="1" x14ac:dyDescent="0.2">
      <c r="B319" s="16"/>
    </row>
    <row r="320" spans="2:2" ht="15.75" customHeight="1" x14ac:dyDescent="0.2">
      <c r="B320" s="16"/>
    </row>
    <row r="321" spans="2:2" ht="15.75" customHeight="1" x14ac:dyDescent="0.2">
      <c r="B321" s="16"/>
    </row>
    <row r="322" spans="2:2" ht="15.75" customHeight="1" x14ac:dyDescent="0.2">
      <c r="B322" s="16"/>
    </row>
    <row r="323" spans="2:2" ht="15.75" customHeight="1" x14ac:dyDescent="0.2">
      <c r="B323" s="16"/>
    </row>
    <row r="324" spans="2:2" ht="15.75" customHeight="1" x14ac:dyDescent="0.2">
      <c r="B324" s="16"/>
    </row>
    <row r="325" spans="2:2" ht="15.75" customHeight="1" x14ac:dyDescent="0.2">
      <c r="B325" s="16"/>
    </row>
    <row r="326" spans="2:2" ht="15.75" customHeight="1" x14ac:dyDescent="0.2">
      <c r="B326" s="16"/>
    </row>
    <row r="327" spans="2:2" ht="15.75" customHeight="1" x14ac:dyDescent="0.2">
      <c r="B327" s="16"/>
    </row>
    <row r="328" spans="2:2" ht="15.75" customHeight="1" x14ac:dyDescent="0.2">
      <c r="B328" s="16"/>
    </row>
    <row r="329" spans="2:2" ht="15.75" customHeight="1" x14ac:dyDescent="0.2">
      <c r="B329" s="16"/>
    </row>
    <row r="330" spans="2:2" ht="15.75" customHeight="1" x14ac:dyDescent="0.2">
      <c r="B330" s="16"/>
    </row>
    <row r="331" spans="2:2" ht="15.75" customHeight="1" x14ac:dyDescent="0.2">
      <c r="B331" s="16"/>
    </row>
    <row r="332" spans="2:2" ht="15.75" customHeight="1" x14ac:dyDescent="0.2">
      <c r="B332" s="16"/>
    </row>
    <row r="333" spans="2:2" ht="15.75" customHeight="1" x14ac:dyDescent="0.2">
      <c r="B333" s="16"/>
    </row>
    <row r="334" spans="2:2" ht="15.75" customHeight="1" x14ac:dyDescent="0.2">
      <c r="B334" s="16"/>
    </row>
    <row r="335" spans="2:2" ht="15.75" customHeight="1" x14ac:dyDescent="0.2">
      <c r="B335" s="16"/>
    </row>
    <row r="336" spans="2:2" ht="15.75" customHeight="1" x14ac:dyDescent="0.2">
      <c r="B336" s="16"/>
    </row>
    <row r="337" spans="2:2" ht="15.75" customHeight="1" x14ac:dyDescent="0.2">
      <c r="B337" s="16"/>
    </row>
    <row r="338" spans="2:2" ht="15.75" customHeight="1" x14ac:dyDescent="0.2">
      <c r="B338" s="16"/>
    </row>
    <row r="339" spans="2:2" ht="15.75" customHeight="1" x14ac:dyDescent="0.2">
      <c r="B339" s="16"/>
    </row>
    <row r="340" spans="2:2" ht="15.75" customHeight="1" x14ac:dyDescent="0.2">
      <c r="B340" s="16"/>
    </row>
    <row r="341" spans="2:2" ht="15.75" customHeight="1" x14ac:dyDescent="0.2">
      <c r="B341" s="16"/>
    </row>
    <row r="342" spans="2:2" ht="15.75" customHeight="1" x14ac:dyDescent="0.2">
      <c r="B342" s="16"/>
    </row>
    <row r="343" spans="2:2" ht="15.75" customHeight="1" x14ac:dyDescent="0.2">
      <c r="B343" s="16"/>
    </row>
    <row r="344" spans="2:2" ht="15.75" customHeight="1" x14ac:dyDescent="0.2">
      <c r="B344" s="16"/>
    </row>
    <row r="345" spans="2:2" ht="15.75" customHeight="1" x14ac:dyDescent="0.2">
      <c r="B345" s="16"/>
    </row>
    <row r="346" spans="2:2" ht="15.75" customHeight="1" x14ac:dyDescent="0.2">
      <c r="B346" s="16"/>
    </row>
    <row r="347" spans="2:2" ht="15.75" customHeight="1" x14ac:dyDescent="0.2">
      <c r="B347" s="16"/>
    </row>
    <row r="348" spans="2:2" ht="15.75" customHeight="1" x14ac:dyDescent="0.2">
      <c r="B348" s="16"/>
    </row>
    <row r="349" spans="2:2" ht="15.75" customHeight="1" x14ac:dyDescent="0.2">
      <c r="B349" s="16"/>
    </row>
    <row r="350" spans="2:2" ht="15.75" customHeight="1" x14ac:dyDescent="0.2">
      <c r="B350" s="16"/>
    </row>
    <row r="351" spans="2:2" ht="15.75" customHeight="1" x14ac:dyDescent="0.2">
      <c r="B351" s="16"/>
    </row>
    <row r="352" spans="2:2" ht="15.75" customHeight="1" x14ac:dyDescent="0.2">
      <c r="B352" s="16"/>
    </row>
    <row r="353" spans="2:2" ht="15.75" customHeight="1" x14ac:dyDescent="0.2">
      <c r="B353" s="16"/>
    </row>
    <row r="354" spans="2:2" ht="15.75" customHeight="1" x14ac:dyDescent="0.2">
      <c r="B354" s="16"/>
    </row>
    <row r="355" spans="2:2" ht="15.75" customHeight="1" x14ac:dyDescent="0.2">
      <c r="B355" s="16"/>
    </row>
    <row r="356" spans="2:2" ht="15.75" customHeight="1" x14ac:dyDescent="0.2">
      <c r="B356" s="16"/>
    </row>
    <row r="357" spans="2:2" ht="15.75" customHeight="1" x14ac:dyDescent="0.2">
      <c r="B357" s="16"/>
    </row>
    <row r="358" spans="2:2" ht="15.75" customHeight="1" x14ac:dyDescent="0.2">
      <c r="B358" s="16"/>
    </row>
    <row r="359" spans="2:2" ht="15.75" customHeight="1" x14ac:dyDescent="0.2">
      <c r="B359" s="16"/>
    </row>
    <row r="360" spans="2:2" ht="15.75" customHeight="1" x14ac:dyDescent="0.2">
      <c r="B360" s="16"/>
    </row>
    <row r="361" spans="2:2" ht="15.75" customHeight="1" x14ac:dyDescent="0.2">
      <c r="B361" s="16"/>
    </row>
    <row r="362" spans="2:2" ht="15.75" customHeight="1" x14ac:dyDescent="0.2">
      <c r="B362" s="16"/>
    </row>
    <row r="363" spans="2:2" ht="15.75" customHeight="1" x14ac:dyDescent="0.2">
      <c r="B363" s="16"/>
    </row>
    <row r="364" spans="2:2" ht="15.75" customHeight="1" x14ac:dyDescent="0.2">
      <c r="B364" s="16"/>
    </row>
    <row r="365" spans="2:2" ht="15.75" customHeight="1" x14ac:dyDescent="0.2">
      <c r="B365" s="16"/>
    </row>
    <row r="366" spans="2:2" ht="15.75" customHeight="1" x14ac:dyDescent="0.2">
      <c r="B366" s="16"/>
    </row>
    <row r="367" spans="2:2" ht="15.75" customHeight="1" x14ac:dyDescent="0.2">
      <c r="B367" s="16"/>
    </row>
    <row r="368" spans="2:2" ht="15.75" customHeight="1" x14ac:dyDescent="0.2">
      <c r="B368" s="16"/>
    </row>
    <row r="369" spans="2:2" ht="15.75" customHeight="1" x14ac:dyDescent="0.2">
      <c r="B369" s="16"/>
    </row>
    <row r="370" spans="2:2" ht="15.75" customHeight="1" x14ac:dyDescent="0.2">
      <c r="B370" s="16"/>
    </row>
    <row r="371" spans="2:2" ht="15.75" customHeight="1" x14ac:dyDescent="0.2">
      <c r="B371" s="16"/>
    </row>
    <row r="372" spans="2:2" ht="15.75" customHeight="1" x14ac:dyDescent="0.2">
      <c r="B372" s="16"/>
    </row>
    <row r="373" spans="2:2" ht="15.75" customHeight="1" x14ac:dyDescent="0.2">
      <c r="B373" s="16"/>
    </row>
    <row r="374" spans="2:2" ht="15.75" customHeight="1" x14ac:dyDescent="0.2">
      <c r="B374" s="16"/>
    </row>
    <row r="375" spans="2:2" ht="15.75" customHeight="1" x14ac:dyDescent="0.2">
      <c r="B375" s="16"/>
    </row>
    <row r="376" spans="2:2" ht="15.75" customHeight="1" x14ac:dyDescent="0.2">
      <c r="B376" s="16"/>
    </row>
    <row r="377" spans="2:2" ht="15.75" customHeight="1" x14ac:dyDescent="0.2">
      <c r="B377" s="16"/>
    </row>
    <row r="378" spans="2:2" ht="15.75" customHeight="1" x14ac:dyDescent="0.2">
      <c r="B378" s="16"/>
    </row>
    <row r="379" spans="2:2" ht="15.75" customHeight="1" x14ac:dyDescent="0.2">
      <c r="B379" s="16"/>
    </row>
    <row r="380" spans="2:2" ht="15.75" customHeight="1" x14ac:dyDescent="0.2">
      <c r="B380" s="16"/>
    </row>
    <row r="381" spans="2:2" ht="15.75" customHeight="1" x14ac:dyDescent="0.2">
      <c r="B381" s="16"/>
    </row>
    <row r="382" spans="2:2" ht="15.75" customHeight="1" x14ac:dyDescent="0.2">
      <c r="B382" s="16"/>
    </row>
    <row r="383" spans="2:2" ht="15.75" customHeight="1" x14ac:dyDescent="0.2">
      <c r="B383" s="16"/>
    </row>
    <row r="384" spans="2:2" ht="15.75" customHeight="1" x14ac:dyDescent="0.2">
      <c r="B384" s="16"/>
    </row>
    <row r="385" spans="2:2" ht="15.75" customHeight="1" x14ac:dyDescent="0.2">
      <c r="B385" s="16"/>
    </row>
    <row r="386" spans="2:2" ht="15.75" customHeight="1" x14ac:dyDescent="0.2">
      <c r="B386" s="16"/>
    </row>
    <row r="387" spans="2:2" ht="15.75" customHeight="1" x14ac:dyDescent="0.2">
      <c r="B387" s="16"/>
    </row>
    <row r="388" spans="2:2" ht="15.75" customHeight="1" x14ac:dyDescent="0.2">
      <c r="B388" s="16"/>
    </row>
    <row r="389" spans="2:2" ht="15.75" customHeight="1" x14ac:dyDescent="0.2">
      <c r="B389" s="16"/>
    </row>
    <row r="390" spans="2:2" ht="15.75" customHeight="1" x14ac:dyDescent="0.2">
      <c r="B390" s="16"/>
    </row>
    <row r="391" spans="2:2" ht="15.75" customHeight="1" x14ac:dyDescent="0.2">
      <c r="B391" s="16"/>
    </row>
    <row r="392" spans="2:2" ht="15.75" customHeight="1" x14ac:dyDescent="0.2">
      <c r="B392" s="16"/>
    </row>
    <row r="393" spans="2:2" ht="15.75" customHeight="1" x14ac:dyDescent="0.2">
      <c r="B393" s="16"/>
    </row>
    <row r="394" spans="2:2" ht="15.75" customHeight="1" x14ac:dyDescent="0.2">
      <c r="B394" s="16"/>
    </row>
    <row r="395" spans="2:2" ht="15.75" customHeight="1" x14ac:dyDescent="0.2">
      <c r="B395" s="16"/>
    </row>
    <row r="396" spans="2:2" ht="15.75" customHeight="1" x14ac:dyDescent="0.2">
      <c r="B396" s="16"/>
    </row>
    <row r="397" spans="2:2" ht="15.75" customHeight="1" x14ac:dyDescent="0.2">
      <c r="B397" s="16"/>
    </row>
    <row r="398" spans="2:2" ht="15.75" customHeight="1" x14ac:dyDescent="0.2">
      <c r="B398" s="16"/>
    </row>
    <row r="399" spans="2:2" ht="15.75" customHeight="1" x14ac:dyDescent="0.2">
      <c r="B399" s="16"/>
    </row>
    <row r="400" spans="2:2" ht="15.75" customHeight="1" x14ac:dyDescent="0.2">
      <c r="B400" s="16"/>
    </row>
    <row r="401" spans="2:2" ht="15.75" customHeight="1" x14ac:dyDescent="0.2">
      <c r="B401" s="16"/>
    </row>
    <row r="402" spans="2:2" ht="15.75" customHeight="1" x14ac:dyDescent="0.2">
      <c r="B402" s="16"/>
    </row>
    <row r="403" spans="2:2" ht="15.75" customHeight="1" x14ac:dyDescent="0.2">
      <c r="B403" s="16"/>
    </row>
    <row r="404" spans="2:2" ht="15.75" customHeight="1" x14ac:dyDescent="0.2">
      <c r="B404" s="16"/>
    </row>
    <row r="405" spans="2:2" ht="15.75" customHeight="1" x14ac:dyDescent="0.2">
      <c r="B405" s="16"/>
    </row>
    <row r="406" spans="2:2" ht="15.75" customHeight="1" x14ac:dyDescent="0.2">
      <c r="B406" s="16"/>
    </row>
    <row r="407" spans="2:2" ht="15.75" customHeight="1" x14ac:dyDescent="0.2">
      <c r="B407" s="16"/>
    </row>
    <row r="408" spans="2:2" ht="15.75" customHeight="1" x14ac:dyDescent="0.2">
      <c r="B408" s="16"/>
    </row>
    <row r="409" spans="2:2" ht="15.75" customHeight="1" x14ac:dyDescent="0.2">
      <c r="B409" s="16"/>
    </row>
    <row r="410" spans="2:2" ht="15.75" customHeight="1" x14ac:dyDescent="0.2">
      <c r="B410" s="16"/>
    </row>
    <row r="411" spans="2:2" ht="15.75" customHeight="1" x14ac:dyDescent="0.2">
      <c r="B411" s="16"/>
    </row>
    <row r="412" spans="2:2" ht="15.75" customHeight="1" x14ac:dyDescent="0.2">
      <c r="B412" s="16"/>
    </row>
    <row r="413" spans="2:2" ht="15.75" customHeight="1" x14ac:dyDescent="0.2">
      <c r="B413" s="16"/>
    </row>
    <row r="414" spans="2:2" ht="15.75" customHeight="1" x14ac:dyDescent="0.2">
      <c r="B414" s="16"/>
    </row>
    <row r="415" spans="2:2" ht="15.75" customHeight="1" x14ac:dyDescent="0.2">
      <c r="B415" s="16"/>
    </row>
    <row r="416" spans="2:2" ht="15.75" customHeight="1" x14ac:dyDescent="0.2">
      <c r="B416" s="16"/>
    </row>
    <row r="417" spans="2:2" ht="15.75" customHeight="1" x14ac:dyDescent="0.2">
      <c r="B417" s="16"/>
    </row>
    <row r="418" spans="2:2" ht="15.75" customHeight="1" x14ac:dyDescent="0.2">
      <c r="B418" s="16"/>
    </row>
    <row r="419" spans="2:2" ht="15.75" customHeight="1" x14ac:dyDescent="0.2">
      <c r="B419" s="16"/>
    </row>
    <row r="420" spans="2:2" ht="15.75" customHeight="1" x14ac:dyDescent="0.2">
      <c r="B420" s="16"/>
    </row>
    <row r="421" spans="2:2" ht="15.75" customHeight="1" x14ac:dyDescent="0.2">
      <c r="B421" s="16"/>
    </row>
    <row r="422" spans="2:2" ht="15.75" customHeight="1" x14ac:dyDescent="0.2">
      <c r="B422" s="16"/>
    </row>
    <row r="423" spans="2:2" ht="15.75" customHeight="1" x14ac:dyDescent="0.2">
      <c r="B423" s="16"/>
    </row>
    <row r="424" spans="2:2" ht="15.75" customHeight="1" x14ac:dyDescent="0.2">
      <c r="B424" s="16"/>
    </row>
    <row r="425" spans="2:2" ht="15.75" customHeight="1" x14ac:dyDescent="0.2">
      <c r="B425" s="16"/>
    </row>
    <row r="426" spans="2:2" ht="15.75" customHeight="1" x14ac:dyDescent="0.2">
      <c r="B426" s="16"/>
    </row>
    <row r="427" spans="2:2" ht="15.75" customHeight="1" x14ac:dyDescent="0.2">
      <c r="B427" s="16"/>
    </row>
    <row r="428" spans="2:2" ht="15.75" customHeight="1" x14ac:dyDescent="0.2">
      <c r="B428" s="16"/>
    </row>
    <row r="429" spans="2:2" ht="15.75" customHeight="1" x14ac:dyDescent="0.2">
      <c r="B429" s="16"/>
    </row>
    <row r="430" spans="2:2" ht="15.75" customHeight="1" x14ac:dyDescent="0.2">
      <c r="B430" s="16"/>
    </row>
    <row r="431" spans="2:2" ht="15.75" customHeight="1" x14ac:dyDescent="0.2">
      <c r="B431" s="16"/>
    </row>
    <row r="432" spans="2:2" ht="15.75" customHeight="1" x14ac:dyDescent="0.2">
      <c r="B432" s="16"/>
    </row>
    <row r="433" spans="2:2" ht="15.75" customHeight="1" x14ac:dyDescent="0.2">
      <c r="B433" s="16"/>
    </row>
    <row r="434" spans="2:2" ht="15.75" customHeight="1" x14ac:dyDescent="0.2">
      <c r="B434" s="16"/>
    </row>
    <row r="435" spans="2:2" ht="15.75" customHeight="1" x14ac:dyDescent="0.2">
      <c r="B435" s="16"/>
    </row>
    <row r="436" spans="2:2" ht="15.75" customHeight="1" x14ac:dyDescent="0.2">
      <c r="B436" s="16"/>
    </row>
    <row r="437" spans="2:2" ht="15.75" customHeight="1" x14ac:dyDescent="0.2">
      <c r="B437" s="16"/>
    </row>
    <row r="438" spans="2:2" ht="15.75" customHeight="1" x14ac:dyDescent="0.2">
      <c r="B438" s="16"/>
    </row>
    <row r="439" spans="2:2" ht="15.75" customHeight="1" x14ac:dyDescent="0.2">
      <c r="B439" s="16"/>
    </row>
    <row r="440" spans="2:2" ht="15.75" customHeight="1" x14ac:dyDescent="0.2">
      <c r="B440" s="16"/>
    </row>
    <row r="441" spans="2:2" ht="15.75" customHeight="1" x14ac:dyDescent="0.2">
      <c r="B441" s="16"/>
    </row>
    <row r="442" spans="2:2" ht="15.75" customHeight="1" x14ac:dyDescent="0.2">
      <c r="B442" s="16"/>
    </row>
    <row r="443" spans="2:2" ht="15.75" customHeight="1" x14ac:dyDescent="0.2">
      <c r="B443" s="16"/>
    </row>
    <row r="444" spans="2:2" ht="15.75" customHeight="1" x14ac:dyDescent="0.2">
      <c r="B444" s="16"/>
    </row>
    <row r="445" spans="2:2" ht="15.75" customHeight="1" x14ac:dyDescent="0.2">
      <c r="B445" s="16"/>
    </row>
    <row r="446" spans="2:2" ht="15.75" customHeight="1" x14ac:dyDescent="0.2">
      <c r="B446" s="16"/>
    </row>
    <row r="447" spans="2:2" ht="15.75" customHeight="1" x14ac:dyDescent="0.2">
      <c r="B447" s="16"/>
    </row>
    <row r="448" spans="2:2" ht="15.75" customHeight="1" x14ac:dyDescent="0.2">
      <c r="B448" s="16"/>
    </row>
    <row r="449" spans="2:2" ht="15.75" customHeight="1" x14ac:dyDescent="0.2">
      <c r="B449" s="16"/>
    </row>
    <row r="450" spans="2:2" ht="15.75" customHeight="1" x14ac:dyDescent="0.2">
      <c r="B450" s="16"/>
    </row>
    <row r="451" spans="2:2" ht="15.75" customHeight="1" x14ac:dyDescent="0.2">
      <c r="B451" s="16"/>
    </row>
    <row r="452" spans="2:2" ht="15.75" customHeight="1" x14ac:dyDescent="0.2">
      <c r="B452" s="16"/>
    </row>
    <row r="453" spans="2:2" ht="15.75" customHeight="1" x14ac:dyDescent="0.2">
      <c r="B453" s="16"/>
    </row>
    <row r="454" spans="2:2" ht="15.75" customHeight="1" x14ac:dyDescent="0.2">
      <c r="B454" s="16"/>
    </row>
    <row r="455" spans="2:2" ht="15.75" customHeight="1" x14ac:dyDescent="0.2">
      <c r="B455" s="16"/>
    </row>
    <row r="456" spans="2:2" ht="15.75" customHeight="1" x14ac:dyDescent="0.2">
      <c r="B456" s="16"/>
    </row>
    <row r="457" spans="2:2" ht="15.75" customHeight="1" x14ac:dyDescent="0.2">
      <c r="B457" s="16"/>
    </row>
    <row r="458" spans="2:2" ht="15.75" customHeight="1" x14ac:dyDescent="0.2">
      <c r="B458" s="16"/>
    </row>
    <row r="459" spans="2:2" ht="15.75" customHeight="1" x14ac:dyDescent="0.2">
      <c r="B459" s="16"/>
    </row>
    <row r="460" spans="2:2" ht="15.75" customHeight="1" x14ac:dyDescent="0.2">
      <c r="B460" s="16"/>
    </row>
    <row r="461" spans="2:2" ht="15.75" customHeight="1" x14ac:dyDescent="0.2">
      <c r="B461" s="16"/>
    </row>
    <row r="462" spans="2:2" ht="15.75" customHeight="1" x14ac:dyDescent="0.2">
      <c r="B462" s="16"/>
    </row>
    <row r="463" spans="2:2" ht="15.75" customHeight="1" x14ac:dyDescent="0.2">
      <c r="B463" s="16"/>
    </row>
    <row r="464" spans="2:2" ht="15.75" customHeight="1" x14ac:dyDescent="0.2">
      <c r="B464" s="16"/>
    </row>
    <row r="465" spans="2:2" ht="15.75" customHeight="1" x14ac:dyDescent="0.2">
      <c r="B465" s="16"/>
    </row>
    <row r="466" spans="2:2" ht="15.75" customHeight="1" x14ac:dyDescent="0.2">
      <c r="B466" s="16"/>
    </row>
    <row r="467" spans="2:2" ht="15.75" customHeight="1" x14ac:dyDescent="0.2">
      <c r="B467" s="16"/>
    </row>
    <row r="468" spans="2:2" ht="15.75" customHeight="1" x14ac:dyDescent="0.2">
      <c r="B468" s="16"/>
    </row>
    <row r="469" spans="2:2" ht="15.75" customHeight="1" x14ac:dyDescent="0.2">
      <c r="B469" s="16"/>
    </row>
    <row r="470" spans="2:2" ht="15.75" customHeight="1" x14ac:dyDescent="0.2">
      <c r="B470" s="16"/>
    </row>
    <row r="471" spans="2:2" ht="15.75" customHeight="1" x14ac:dyDescent="0.2">
      <c r="B471" s="16"/>
    </row>
    <row r="472" spans="2:2" ht="15.75" customHeight="1" x14ac:dyDescent="0.2">
      <c r="B472" s="16"/>
    </row>
    <row r="473" spans="2:2" ht="15.75" customHeight="1" x14ac:dyDescent="0.2">
      <c r="B473" s="16"/>
    </row>
    <row r="474" spans="2:2" ht="15.75" customHeight="1" x14ac:dyDescent="0.2">
      <c r="B474" s="16"/>
    </row>
    <row r="475" spans="2:2" ht="15.75" customHeight="1" x14ac:dyDescent="0.2">
      <c r="B475" s="16"/>
    </row>
    <row r="476" spans="2:2" ht="15.75" customHeight="1" x14ac:dyDescent="0.2">
      <c r="B476" s="16"/>
    </row>
    <row r="477" spans="2:2" ht="15.75" customHeight="1" x14ac:dyDescent="0.2">
      <c r="B477" s="16"/>
    </row>
    <row r="478" spans="2:2" ht="15.75" customHeight="1" x14ac:dyDescent="0.2">
      <c r="B478" s="16"/>
    </row>
    <row r="479" spans="2:2" ht="15.75" customHeight="1" x14ac:dyDescent="0.2">
      <c r="B479" s="16"/>
    </row>
    <row r="480" spans="2:2" ht="15.75" customHeight="1" x14ac:dyDescent="0.2">
      <c r="B480" s="16"/>
    </row>
    <row r="481" spans="2:2" ht="15.75" customHeight="1" x14ac:dyDescent="0.2">
      <c r="B481" s="16"/>
    </row>
    <row r="482" spans="2:2" ht="15.75" customHeight="1" x14ac:dyDescent="0.2">
      <c r="B482" s="16"/>
    </row>
    <row r="483" spans="2:2" ht="15.75" customHeight="1" x14ac:dyDescent="0.2">
      <c r="B483" s="16"/>
    </row>
    <row r="484" spans="2:2" ht="15.75" customHeight="1" x14ac:dyDescent="0.2">
      <c r="B484" s="16"/>
    </row>
    <row r="485" spans="2:2" ht="15.75" customHeight="1" x14ac:dyDescent="0.2">
      <c r="B485" s="16"/>
    </row>
    <row r="486" spans="2:2" ht="15.75" customHeight="1" x14ac:dyDescent="0.2">
      <c r="B486" s="16"/>
    </row>
    <row r="487" spans="2:2" ht="15.75" customHeight="1" x14ac:dyDescent="0.2">
      <c r="B487" s="16"/>
    </row>
    <row r="488" spans="2:2" ht="15.75" customHeight="1" x14ac:dyDescent="0.2">
      <c r="B488" s="16"/>
    </row>
    <row r="489" spans="2:2" ht="15.75" customHeight="1" x14ac:dyDescent="0.2">
      <c r="B489" s="16"/>
    </row>
    <row r="490" spans="2:2" ht="15.75" customHeight="1" x14ac:dyDescent="0.2">
      <c r="B490" s="16"/>
    </row>
    <row r="491" spans="2:2" ht="15.75" customHeight="1" x14ac:dyDescent="0.2">
      <c r="B491" s="16"/>
    </row>
    <row r="492" spans="2:2" ht="15.75" customHeight="1" x14ac:dyDescent="0.2">
      <c r="B492" s="16"/>
    </row>
    <row r="493" spans="2:2" ht="15.75" customHeight="1" x14ac:dyDescent="0.2">
      <c r="B493" s="16"/>
    </row>
    <row r="494" spans="2:2" ht="15.75" customHeight="1" x14ac:dyDescent="0.2">
      <c r="B494" s="16"/>
    </row>
    <row r="495" spans="2:2" ht="15.75" customHeight="1" x14ac:dyDescent="0.2">
      <c r="B495" s="16"/>
    </row>
    <row r="496" spans="2:2" ht="15.75" customHeight="1" x14ac:dyDescent="0.2">
      <c r="B496" s="16"/>
    </row>
    <row r="497" spans="2:2" ht="15.75" customHeight="1" x14ac:dyDescent="0.2">
      <c r="B497" s="16"/>
    </row>
    <row r="498" spans="2:2" ht="15.75" customHeight="1" x14ac:dyDescent="0.2">
      <c r="B498" s="16"/>
    </row>
    <row r="499" spans="2:2" ht="15.75" customHeight="1" x14ac:dyDescent="0.2">
      <c r="B499" s="16"/>
    </row>
    <row r="500" spans="2:2" ht="15.75" customHeight="1" x14ac:dyDescent="0.2">
      <c r="B500" s="16"/>
    </row>
    <row r="501" spans="2:2" ht="15.75" customHeight="1" x14ac:dyDescent="0.2">
      <c r="B501" s="16"/>
    </row>
    <row r="502" spans="2:2" ht="15.75" customHeight="1" x14ac:dyDescent="0.2">
      <c r="B502" s="16"/>
    </row>
    <row r="503" spans="2:2" ht="15.75" customHeight="1" x14ac:dyDescent="0.2">
      <c r="B503" s="16"/>
    </row>
    <row r="504" spans="2:2" ht="15.75" customHeight="1" x14ac:dyDescent="0.2">
      <c r="B504" s="16"/>
    </row>
    <row r="505" spans="2:2" ht="15.75" customHeight="1" x14ac:dyDescent="0.2">
      <c r="B505" s="16"/>
    </row>
    <row r="506" spans="2:2" ht="15.75" customHeight="1" x14ac:dyDescent="0.2">
      <c r="B506" s="16"/>
    </row>
    <row r="507" spans="2:2" ht="15.75" customHeight="1" x14ac:dyDescent="0.2">
      <c r="B507" s="16"/>
    </row>
    <row r="508" spans="2:2" ht="15.75" customHeight="1" x14ac:dyDescent="0.2">
      <c r="B508" s="16"/>
    </row>
    <row r="509" spans="2:2" ht="15.75" customHeight="1" x14ac:dyDescent="0.2">
      <c r="B509" s="16"/>
    </row>
    <row r="510" spans="2:2" ht="15.75" customHeight="1" x14ac:dyDescent="0.2">
      <c r="B510" s="16"/>
    </row>
    <row r="511" spans="2:2" ht="15.75" customHeight="1" x14ac:dyDescent="0.2">
      <c r="B511" s="16"/>
    </row>
    <row r="512" spans="2:2" ht="15.75" customHeight="1" x14ac:dyDescent="0.2">
      <c r="B512" s="16"/>
    </row>
    <row r="513" spans="2:2" ht="15.75" customHeight="1" x14ac:dyDescent="0.2">
      <c r="B513" s="16"/>
    </row>
    <row r="514" spans="2:2" ht="15.75" customHeight="1" x14ac:dyDescent="0.2">
      <c r="B514" s="16"/>
    </row>
    <row r="515" spans="2:2" ht="15.75" customHeight="1" x14ac:dyDescent="0.2">
      <c r="B515" s="16"/>
    </row>
    <row r="516" spans="2:2" ht="15.75" customHeight="1" x14ac:dyDescent="0.2">
      <c r="B516" s="16"/>
    </row>
    <row r="517" spans="2:2" ht="15.75" customHeight="1" x14ac:dyDescent="0.2">
      <c r="B517" s="16"/>
    </row>
    <row r="518" spans="2:2" ht="15.75" customHeight="1" x14ac:dyDescent="0.2">
      <c r="B518" s="16"/>
    </row>
    <row r="519" spans="2:2" ht="15.75" customHeight="1" x14ac:dyDescent="0.2">
      <c r="B519" s="16"/>
    </row>
    <row r="520" spans="2:2" ht="15.75" customHeight="1" x14ac:dyDescent="0.2">
      <c r="B520" s="16"/>
    </row>
    <row r="521" spans="2:2" ht="15.75" customHeight="1" x14ac:dyDescent="0.2">
      <c r="B521" s="16"/>
    </row>
    <row r="522" spans="2:2" ht="15.75" customHeight="1" x14ac:dyDescent="0.2">
      <c r="B522" s="16"/>
    </row>
    <row r="523" spans="2:2" ht="15.75" customHeight="1" x14ac:dyDescent="0.2">
      <c r="B523" s="16"/>
    </row>
    <row r="524" spans="2:2" ht="15.75" customHeight="1" x14ac:dyDescent="0.2">
      <c r="B524" s="16"/>
    </row>
    <row r="525" spans="2:2" ht="15.75" customHeight="1" x14ac:dyDescent="0.2">
      <c r="B525" s="16"/>
    </row>
    <row r="526" spans="2:2" ht="15.75" customHeight="1" x14ac:dyDescent="0.2">
      <c r="B526" s="16"/>
    </row>
    <row r="527" spans="2:2" ht="15.75" customHeight="1" x14ac:dyDescent="0.2">
      <c r="B527" s="16"/>
    </row>
    <row r="528" spans="2:2" ht="15.75" customHeight="1" x14ac:dyDescent="0.2">
      <c r="B528" s="16"/>
    </row>
    <row r="529" spans="2:2" ht="15.75" customHeight="1" x14ac:dyDescent="0.2">
      <c r="B529" s="16"/>
    </row>
    <row r="530" spans="2:2" ht="15.75" customHeight="1" x14ac:dyDescent="0.2">
      <c r="B530" s="16"/>
    </row>
    <row r="531" spans="2:2" ht="15.75" customHeight="1" x14ac:dyDescent="0.2">
      <c r="B531" s="16"/>
    </row>
    <row r="532" spans="2:2" ht="15.75" customHeight="1" x14ac:dyDescent="0.2">
      <c r="B532" s="16"/>
    </row>
    <row r="533" spans="2:2" ht="15.75" customHeight="1" x14ac:dyDescent="0.2">
      <c r="B533" s="16"/>
    </row>
    <row r="534" spans="2:2" ht="15.75" customHeight="1" x14ac:dyDescent="0.2">
      <c r="B534" s="16"/>
    </row>
    <row r="535" spans="2:2" ht="15.75" customHeight="1" x14ac:dyDescent="0.2">
      <c r="B535" s="16"/>
    </row>
    <row r="536" spans="2:2" ht="15.75" customHeight="1" x14ac:dyDescent="0.2">
      <c r="B536" s="16"/>
    </row>
    <row r="537" spans="2:2" ht="15.75" customHeight="1" x14ac:dyDescent="0.2">
      <c r="B537" s="16"/>
    </row>
    <row r="538" spans="2:2" ht="15.75" customHeight="1" x14ac:dyDescent="0.2">
      <c r="B538" s="16"/>
    </row>
    <row r="539" spans="2:2" ht="15.75" customHeight="1" x14ac:dyDescent="0.2">
      <c r="B539" s="16"/>
    </row>
    <row r="540" spans="2:2" ht="15.75" customHeight="1" x14ac:dyDescent="0.2">
      <c r="B540" s="16"/>
    </row>
    <row r="541" spans="2:2" ht="15.75" customHeight="1" x14ac:dyDescent="0.2">
      <c r="B541" s="16"/>
    </row>
    <row r="542" spans="2:2" ht="15.75" customHeight="1" x14ac:dyDescent="0.2">
      <c r="B542" s="16"/>
    </row>
    <row r="543" spans="2:2" ht="15.75" customHeight="1" x14ac:dyDescent="0.2">
      <c r="B543" s="16"/>
    </row>
    <row r="544" spans="2:2" ht="15.75" customHeight="1" x14ac:dyDescent="0.2">
      <c r="B544" s="16"/>
    </row>
    <row r="545" spans="2:2" ht="15.75" customHeight="1" x14ac:dyDescent="0.2">
      <c r="B545" s="16"/>
    </row>
    <row r="546" spans="2:2" ht="15.75" customHeight="1" x14ac:dyDescent="0.2">
      <c r="B546" s="16"/>
    </row>
    <row r="547" spans="2:2" ht="15.75" customHeight="1" x14ac:dyDescent="0.2">
      <c r="B547" s="16"/>
    </row>
    <row r="548" spans="2:2" ht="15.75" customHeight="1" x14ac:dyDescent="0.2">
      <c r="B548" s="16"/>
    </row>
    <row r="549" spans="2:2" ht="15.75" customHeight="1" x14ac:dyDescent="0.2">
      <c r="B549" s="16"/>
    </row>
    <row r="550" spans="2:2" ht="15.75" customHeight="1" x14ac:dyDescent="0.2">
      <c r="B550" s="16"/>
    </row>
    <row r="551" spans="2:2" ht="15.75" customHeight="1" x14ac:dyDescent="0.2">
      <c r="B551" s="16"/>
    </row>
    <row r="552" spans="2:2" ht="15.75" customHeight="1" x14ac:dyDescent="0.2">
      <c r="B552" s="16"/>
    </row>
    <row r="553" spans="2:2" ht="15.75" customHeight="1" x14ac:dyDescent="0.2">
      <c r="B553" s="16"/>
    </row>
    <row r="554" spans="2:2" ht="15.75" customHeight="1" x14ac:dyDescent="0.2">
      <c r="B554" s="16"/>
    </row>
    <row r="555" spans="2:2" ht="15.75" customHeight="1" x14ac:dyDescent="0.2">
      <c r="B555" s="16"/>
    </row>
    <row r="556" spans="2:2" ht="15.75" customHeight="1" x14ac:dyDescent="0.2">
      <c r="B556" s="16"/>
    </row>
    <row r="557" spans="2:2" ht="15.75" customHeight="1" x14ac:dyDescent="0.2">
      <c r="B557" s="16"/>
    </row>
    <row r="558" spans="2:2" ht="15.75" customHeight="1" x14ac:dyDescent="0.2">
      <c r="B558" s="16"/>
    </row>
    <row r="559" spans="2:2" ht="15.75" customHeight="1" x14ac:dyDescent="0.2">
      <c r="B559" s="16"/>
    </row>
    <row r="560" spans="2:2" ht="15.75" customHeight="1" x14ac:dyDescent="0.2">
      <c r="B560" s="16"/>
    </row>
    <row r="561" spans="2:2" ht="15.75" customHeight="1" x14ac:dyDescent="0.2">
      <c r="B561" s="16"/>
    </row>
    <row r="562" spans="2:2" ht="15.75" customHeight="1" x14ac:dyDescent="0.2">
      <c r="B562" s="16"/>
    </row>
    <row r="563" spans="2:2" ht="15.75" customHeight="1" x14ac:dyDescent="0.2">
      <c r="B563" s="16"/>
    </row>
    <row r="564" spans="2:2" ht="15.75" customHeight="1" x14ac:dyDescent="0.2">
      <c r="B564" s="16"/>
    </row>
    <row r="565" spans="2:2" ht="15.75" customHeight="1" x14ac:dyDescent="0.2">
      <c r="B565" s="16"/>
    </row>
    <row r="566" spans="2:2" ht="15.75" customHeight="1" x14ac:dyDescent="0.2">
      <c r="B566" s="16"/>
    </row>
    <row r="567" spans="2:2" ht="15.75" customHeight="1" x14ac:dyDescent="0.2">
      <c r="B567" s="16"/>
    </row>
    <row r="568" spans="2:2" ht="15.75" customHeight="1" x14ac:dyDescent="0.2">
      <c r="B568" s="16"/>
    </row>
    <row r="569" spans="2:2" ht="15.75" customHeight="1" x14ac:dyDescent="0.2">
      <c r="B569" s="16"/>
    </row>
    <row r="570" spans="2:2" ht="15.75" customHeight="1" x14ac:dyDescent="0.2">
      <c r="B570" s="16"/>
    </row>
    <row r="571" spans="2:2" ht="15.75" customHeight="1" x14ac:dyDescent="0.2">
      <c r="B571" s="16"/>
    </row>
    <row r="572" spans="2:2" ht="15.75" customHeight="1" x14ac:dyDescent="0.2">
      <c r="B572" s="16"/>
    </row>
    <row r="573" spans="2:2" ht="15.75" customHeight="1" x14ac:dyDescent="0.2">
      <c r="B573" s="16"/>
    </row>
    <row r="574" spans="2:2" ht="15.75" customHeight="1" x14ac:dyDescent="0.2">
      <c r="B574" s="16"/>
    </row>
    <row r="575" spans="2:2" ht="15.75" customHeight="1" x14ac:dyDescent="0.2">
      <c r="B575" s="16"/>
    </row>
    <row r="576" spans="2:2" ht="15.75" customHeight="1" x14ac:dyDescent="0.2">
      <c r="B576" s="16"/>
    </row>
    <row r="577" spans="2:2" ht="15.75" customHeight="1" x14ac:dyDescent="0.2">
      <c r="B577" s="16"/>
    </row>
    <row r="578" spans="2:2" ht="15.75" customHeight="1" x14ac:dyDescent="0.2">
      <c r="B578" s="16"/>
    </row>
    <row r="579" spans="2:2" ht="15.75" customHeight="1" x14ac:dyDescent="0.2">
      <c r="B579" s="16"/>
    </row>
    <row r="580" spans="2:2" ht="15.75" customHeight="1" x14ac:dyDescent="0.2">
      <c r="B580" s="16"/>
    </row>
    <row r="581" spans="2:2" ht="15.75" customHeight="1" x14ac:dyDescent="0.2">
      <c r="B581" s="16"/>
    </row>
    <row r="582" spans="2:2" ht="15.75" customHeight="1" x14ac:dyDescent="0.2">
      <c r="B582" s="16"/>
    </row>
    <row r="583" spans="2:2" ht="15.75" customHeight="1" x14ac:dyDescent="0.2">
      <c r="B583" s="16"/>
    </row>
    <row r="584" spans="2:2" ht="15.75" customHeight="1" x14ac:dyDescent="0.2">
      <c r="B584" s="16"/>
    </row>
    <row r="585" spans="2:2" ht="15.75" customHeight="1" x14ac:dyDescent="0.2">
      <c r="B585" s="16"/>
    </row>
    <row r="586" spans="2:2" ht="15.75" customHeight="1" x14ac:dyDescent="0.2">
      <c r="B586" s="16"/>
    </row>
    <row r="587" spans="2:2" ht="15.75" customHeight="1" x14ac:dyDescent="0.2">
      <c r="B587" s="16"/>
    </row>
    <row r="588" spans="2:2" ht="15.75" customHeight="1" x14ac:dyDescent="0.2">
      <c r="B588" s="16"/>
    </row>
    <row r="589" spans="2:2" ht="15.75" customHeight="1" x14ac:dyDescent="0.2">
      <c r="B589" s="16"/>
    </row>
    <row r="590" spans="2:2" ht="15.75" customHeight="1" x14ac:dyDescent="0.2">
      <c r="B590" s="16"/>
    </row>
    <row r="591" spans="2:2" ht="15.75" customHeight="1" x14ac:dyDescent="0.2">
      <c r="B591" s="16"/>
    </row>
    <row r="592" spans="2:2" ht="15.75" customHeight="1" x14ac:dyDescent="0.2">
      <c r="B592" s="16"/>
    </row>
    <row r="593" spans="2:2" ht="15.75" customHeight="1" x14ac:dyDescent="0.2">
      <c r="B593" s="16"/>
    </row>
    <row r="594" spans="2:2" ht="15.75" customHeight="1" x14ac:dyDescent="0.2">
      <c r="B594" s="16"/>
    </row>
    <row r="595" spans="2:2" ht="15.75" customHeight="1" x14ac:dyDescent="0.2">
      <c r="B595" s="16"/>
    </row>
    <row r="596" spans="2:2" ht="15.75" customHeight="1" x14ac:dyDescent="0.2">
      <c r="B596" s="16"/>
    </row>
    <row r="597" spans="2:2" ht="15.75" customHeight="1" x14ac:dyDescent="0.2">
      <c r="B597" s="16"/>
    </row>
    <row r="598" spans="2:2" ht="15.75" customHeight="1" x14ac:dyDescent="0.2">
      <c r="B598" s="16"/>
    </row>
    <row r="599" spans="2:2" ht="15.75" customHeight="1" x14ac:dyDescent="0.2">
      <c r="B599" s="16"/>
    </row>
    <row r="600" spans="2:2" ht="15.75" customHeight="1" x14ac:dyDescent="0.2">
      <c r="B600" s="16"/>
    </row>
    <row r="601" spans="2:2" ht="15.75" customHeight="1" x14ac:dyDescent="0.2">
      <c r="B601" s="16"/>
    </row>
    <row r="602" spans="2:2" ht="15.75" customHeight="1" x14ac:dyDescent="0.2">
      <c r="B602" s="16"/>
    </row>
    <row r="603" spans="2:2" ht="15.75" customHeight="1" x14ac:dyDescent="0.2">
      <c r="B603" s="16"/>
    </row>
    <row r="604" spans="2:2" ht="15.75" customHeight="1" x14ac:dyDescent="0.2">
      <c r="B604" s="16"/>
    </row>
    <row r="605" spans="2:2" ht="15.75" customHeight="1" x14ac:dyDescent="0.2">
      <c r="B605" s="16"/>
    </row>
    <row r="606" spans="2:2" ht="15.75" customHeight="1" x14ac:dyDescent="0.2">
      <c r="B606" s="16"/>
    </row>
    <row r="607" spans="2:2" ht="15.75" customHeight="1" x14ac:dyDescent="0.2">
      <c r="B607" s="16"/>
    </row>
    <row r="608" spans="2:2" ht="15.75" customHeight="1" x14ac:dyDescent="0.2">
      <c r="B608" s="16"/>
    </row>
    <row r="609" spans="2:2" ht="15.75" customHeight="1" x14ac:dyDescent="0.2">
      <c r="B609" s="16"/>
    </row>
    <row r="610" spans="2:2" ht="15.75" customHeight="1" x14ac:dyDescent="0.2">
      <c r="B610" s="16"/>
    </row>
    <row r="611" spans="2:2" ht="15.75" customHeight="1" x14ac:dyDescent="0.2">
      <c r="B611" s="16"/>
    </row>
    <row r="612" spans="2:2" ht="15.75" customHeight="1" x14ac:dyDescent="0.2">
      <c r="B612" s="16"/>
    </row>
    <row r="613" spans="2:2" ht="15.75" customHeight="1" x14ac:dyDescent="0.2">
      <c r="B613" s="16"/>
    </row>
    <row r="614" spans="2:2" ht="15.75" customHeight="1" x14ac:dyDescent="0.2">
      <c r="B614" s="16"/>
    </row>
    <row r="615" spans="2:2" ht="15.75" customHeight="1" x14ac:dyDescent="0.2">
      <c r="B615" s="16"/>
    </row>
    <row r="616" spans="2:2" ht="15.75" customHeight="1" x14ac:dyDescent="0.2">
      <c r="B616" s="16"/>
    </row>
    <row r="617" spans="2:2" ht="15.75" customHeight="1" x14ac:dyDescent="0.2">
      <c r="B617" s="16"/>
    </row>
    <row r="618" spans="2:2" ht="15.75" customHeight="1" x14ac:dyDescent="0.2">
      <c r="B618" s="16"/>
    </row>
    <row r="619" spans="2:2" ht="15.75" customHeight="1" x14ac:dyDescent="0.2">
      <c r="B619" s="16"/>
    </row>
    <row r="620" spans="2:2" ht="15.75" customHeight="1" x14ac:dyDescent="0.2">
      <c r="B620" s="16"/>
    </row>
    <row r="621" spans="2:2" ht="15.75" customHeight="1" x14ac:dyDescent="0.2">
      <c r="B621" s="16"/>
    </row>
    <row r="622" spans="2:2" ht="15.75" customHeight="1" x14ac:dyDescent="0.2">
      <c r="B622" s="16"/>
    </row>
    <row r="623" spans="2:2" ht="15.75" customHeight="1" x14ac:dyDescent="0.2">
      <c r="B623" s="16"/>
    </row>
    <row r="624" spans="2:2" ht="15.75" customHeight="1" x14ac:dyDescent="0.2">
      <c r="B624" s="16"/>
    </row>
    <row r="625" spans="2:2" ht="15.75" customHeight="1" x14ac:dyDescent="0.2">
      <c r="B625" s="16"/>
    </row>
    <row r="626" spans="2:2" ht="15.75" customHeight="1" x14ac:dyDescent="0.2">
      <c r="B626" s="16"/>
    </row>
    <row r="627" spans="2:2" ht="15.75" customHeight="1" x14ac:dyDescent="0.2">
      <c r="B627" s="16"/>
    </row>
    <row r="628" spans="2:2" ht="15.75" customHeight="1" x14ac:dyDescent="0.2">
      <c r="B628" s="16"/>
    </row>
    <row r="629" spans="2:2" ht="15.75" customHeight="1" x14ac:dyDescent="0.2">
      <c r="B629" s="16"/>
    </row>
    <row r="630" spans="2:2" ht="15.75" customHeight="1" x14ac:dyDescent="0.2">
      <c r="B630" s="16"/>
    </row>
    <row r="631" spans="2:2" ht="15.75" customHeight="1" x14ac:dyDescent="0.2">
      <c r="B631" s="16"/>
    </row>
    <row r="632" spans="2:2" ht="15.75" customHeight="1" x14ac:dyDescent="0.2">
      <c r="B632" s="16"/>
    </row>
    <row r="633" spans="2:2" ht="15.75" customHeight="1" x14ac:dyDescent="0.2">
      <c r="B633" s="16"/>
    </row>
    <row r="634" spans="2:2" ht="15.75" customHeight="1" x14ac:dyDescent="0.2">
      <c r="B634" s="16"/>
    </row>
    <row r="635" spans="2:2" ht="15.75" customHeight="1" x14ac:dyDescent="0.2">
      <c r="B635" s="16"/>
    </row>
    <row r="636" spans="2:2" ht="15.75" customHeight="1" x14ac:dyDescent="0.2">
      <c r="B636" s="16"/>
    </row>
    <row r="637" spans="2:2" ht="15.75" customHeight="1" x14ac:dyDescent="0.2">
      <c r="B637" s="16"/>
    </row>
    <row r="638" spans="2:2" ht="15.75" customHeight="1" x14ac:dyDescent="0.2">
      <c r="B638" s="16"/>
    </row>
    <row r="639" spans="2:2" ht="15.75" customHeight="1" x14ac:dyDescent="0.2">
      <c r="B639" s="16"/>
    </row>
    <row r="640" spans="2:2" ht="15.75" customHeight="1" x14ac:dyDescent="0.2">
      <c r="B640" s="16"/>
    </row>
    <row r="641" spans="2:2" ht="15.75" customHeight="1" x14ac:dyDescent="0.2">
      <c r="B641" s="16"/>
    </row>
    <row r="642" spans="2:2" ht="15.75" customHeight="1" x14ac:dyDescent="0.2">
      <c r="B642" s="16"/>
    </row>
    <row r="643" spans="2:2" ht="15.75" customHeight="1" x14ac:dyDescent="0.2">
      <c r="B643" s="16"/>
    </row>
    <row r="644" spans="2:2" ht="15.75" customHeight="1" x14ac:dyDescent="0.2">
      <c r="B644" s="16"/>
    </row>
    <row r="645" spans="2:2" ht="15.75" customHeight="1" x14ac:dyDescent="0.2">
      <c r="B645" s="16"/>
    </row>
    <row r="646" spans="2:2" ht="15.75" customHeight="1" x14ac:dyDescent="0.2">
      <c r="B646" s="16"/>
    </row>
    <row r="647" spans="2:2" ht="15.75" customHeight="1" x14ac:dyDescent="0.2">
      <c r="B647" s="16"/>
    </row>
    <row r="648" spans="2:2" ht="15.75" customHeight="1" x14ac:dyDescent="0.2">
      <c r="B648" s="16"/>
    </row>
    <row r="649" spans="2:2" ht="15.75" customHeight="1" x14ac:dyDescent="0.2">
      <c r="B649" s="16"/>
    </row>
    <row r="650" spans="2:2" ht="15.75" customHeight="1" x14ac:dyDescent="0.2">
      <c r="B650" s="16"/>
    </row>
    <row r="651" spans="2:2" ht="15.75" customHeight="1" x14ac:dyDescent="0.2">
      <c r="B651" s="16"/>
    </row>
    <row r="652" spans="2:2" ht="15.75" customHeight="1" x14ac:dyDescent="0.2">
      <c r="B652" s="16"/>
    </row>
    <row r="653" spans="2:2" ht="15.75" customHeight="1" x14ac:dyDescent="0.2">
      <c r="B653" s="16"/>
    </row>
    <row r="654" spans="2:2" ht="15.75" customHeight="1" x14ac:dyDescent="0.2">
      <c r="B654" s="16"/>
    </row>
    <row r="655" spans="2:2" ht="15.75" customHeight="1" x14ac:dyDescent="0.2">
      <c r="B655" s="16"/>
    </row>
    <row r="656" spans="2:2" ht="15.75" customHeight="1" x14ac:dyDescent="0.2">
      <c r="B656" s="16"/>
    </row>
    <row r="657" spans="2:2" ht="15.75" customHeight="1" x14ac:dyDescent="0.2">
      <c r="B657" s="16"/>
    </row>
    <row r="658" spans="2:2" ht="15.75" customHeight="1" x14ac:dyDescent="0.2">
      <c r="B658" s="16"/>
    </row>
    <row r="659" spans="2:2" ht="15.75" customHeight="1" x14ac:dyDescent="0.2">
      <c r="B659" s="16"/>
    </row>
    <row r="660" spans="2:2" ht="15.75" customHeight="1" x14ac:dyDescent="0.2">
      <c r="B660" s="16"/>
    </row>
    <row r="661" spans="2:2" ht="15.75" customHeight="1" x14ac:dyDescent="0.2">
      <c r="B661" s="16"/>
    </row>
    <row r="662" spans="2:2" ht="15.75" customHeight="1" x14ac:dyDescent="0.2">
      <c r="B662" s="16"/>
    </row>
    <row r="663" spans="2:2" ht="15.75" customHeight="1" x14ac:dyDescent="0.2">
      <c r="B663" s="16"/>
    </row>
    <row r="664" spans="2:2" ht="15.75" customHeight="1" x14ac:dyDescent="0.2">
      <c r="B664" s="16"/>
    </row>
    <row r="665" spans="2:2" ht="15.75" customHeight="1" x14ac:dyDescent="0.2">
      <c r="B665" s="16"/>
    </row>
    <row r="666" spans="2:2" ht="15.75" customHeight="1" x14ac:dyDescent="0.2">
      <c r="B666" s="16"/>
    </row>
    <row r="667" spans="2:2" ht="15.75" customHeight="1" x14ac:dyDescent="0.2">
      <c r="B667" s="16"/>
    </row>
    <row r="668" spans="2:2" ht="15.75" customHeight="1" x14ac:dyDescent="0.2">
      <c r="B668" s="16"/>
    </row>
    <row r="669" spans="2:2" ht="15.75" customHeight="1" x14ac:dyDescent="0.2">
      <c r="B669" s="16"/>
    </row>
    <row r="670" spans="2:2" ht="15.75" customHeight="1" x14ac:dyDescent="0.2">
      <c r="B670" s="16"/>
    </row>
    <row r="671" spans="2:2" ht="15.75" customHeight="1" x14ac:dyDescent="0.2">
      <c r="B671" s="16"/>
    </row>
    <row r="672" spans="2:2" ht="15.75" customHeight="1" x14ac:dyDescent="0.2">
      <c r="B672" s="16"/>
    </row>
    <row r="673" spans="2:2" ht="15.75" customHeight="1" x14ac:dyDescent="0.2">
      <c r="B673" s="16"/>
    </row>
    <row r="674" spans="2:2" ht="15.75" customHeight="1" x14ac:dyDescent="0.2">
      <c r="B674" s="16"/>
    </row>
    <row r="675" spans="2:2" ht="15.75" customHeight="1" x14ac:dyDescent="0.2">
      <c r="B675" s="16"/>
    </row>
    <row r="676" spans="2:2" ht="15.75" customHeight="1" x14ac:dyDescent="0.2">
      <c r="B676" s="16"/>
    </row>
    <row r="677" spans="2:2" ht="15.75" customHeight="1" x14ac:dyDescent="0.2">
      <c r="B677" s="16"/>
    </row>
    <row r="678" spans="2:2" ht="15.75" customHeight="1" x14ac:dyDescent="0.2">
      <c r="B678" s="16"/>
    </row>
    <row r="679" spans="2:2" ht="15.75" customHeight="1" x14ac:dyDescent="0.2">
      <c r="B679" s="16"/>
    </row>
    <row r="680" spans="2:2" ht="15.75" customHeight="1" x14ac:dyDescent="0.2">
      <c r="B680" s="16"/>
    </row>
    <row r="681" spans="2:2" ht="15.75" customHeight="1" x14ac:dyDescent="0.2">
      <c r="B681" s="16"/>
    </row>
    <row r="682" spans="2:2" ht="15.75" customHeight="1" x14ac:dyDescent="0.2">
      <c r="B682" s="16"/>
    </row>
    <row r="683" spans="2:2" ht="15.75" customHeight="1" x14ac:dyDescent="0.2">
      <c r="B683" s="16"/>
    </row>
    <row r="684" spans="2:2" ht="15.75" customHeight="1" x14ac:dyDescent="0.2">
      <c r="B684" s="16"/>
    </row>
    <row r="685" spans="2:2" ht="15.75" customHeight="1" x14ac:dyDescent="0.2">
      <c r="B685" s="16"/>
    </row>
    <row r="686" spans="2:2" ht="15.75" customHeight="1" x14ac:dyDescent="0.2">
      <c r="B686" s="16"/>
    </row>
    <row r="687" spans="2:2" ht="15.75" customHeight="1" x14ac:dyDescent="0.2">
      <c r="B687" s="16"/>
    </row>
    <row r="688" spans="2:2" ht="15.75" customHeight="1" x14ac:dyDescent="0.2">
      <c r="B688" s="16"/>
    </row>
    <row r="689" spans="2:2" ht="15.75" customHeight="1" x14ac:dyDescent="0.2">
      <c r="B689" s="16"/>
    </row>
    <row r="690" spans="2:2" ht="15.75" customHeight="1" x14ac:dyDescent="0.2">
      <c r="B690" s="16"/>
    </row>
    <row r="691" spans="2:2" ht="15.75" customHeight="1" x14ac:dyDescent="0.2">
      <c r="B691" s="16"/>
    </row>
    <row r="692" spans="2:2" ht="15.75" customHeight="1" x14ac:dyDescent="0.2">
      <c r="B692" s="16"/>
    </row>
    <row r="693" spans="2:2" ht="15.75" customHeight="1" x14ac:dyDescent="0.2">
      <c r="B693" s="16"/>
    </row>
    <row r="694" spans="2:2" ht="15.75" customHeight="1" x14ac:dyDescent="0.2">
      <c r="B694" s="16"/>
    </row>
    <row r="695" spans="2:2" ht="15.75" customHeight="1" x14ac:dyDescent="0.2">
      <c r="B695" s="16"/>
    </row>
    <row r="696" spans="2:2" ht="15.75" customHeight="1" x14ac:dyDescent="0.2">
      <c r="B696" s="16"/>
    </row>
    <row r="697" spans="2:2" ht="15.75" customHeight="1" x14ac:dyDescent="0.2">
      <c r="B697" s="16"/>
    </row>
    <row r="698" spans="2:2" ht="15.75" customHeight="1" x14ac:dyDescent="0.2">
      <c r="B698" s="16"/>
    </row>
    <row r="699" spans="2:2" ht="15.75" customHeight="1" x14ac:dyDescent="0.2">
      <c r="B699" s="16"/>
    </row>
    <row r="700" spans="2:2" ht="15.75" customHeight="1" x14ac:dyDescent="0.2">
      <c r="B700" s="16"/>
    </row>
    <row r="701" spans="2:2" ht="15.75" customHeight="1" x14ac:dyDescent="0.2">
      <c r="B701" s="16"/>
    </row>
    <row r="702" spans="2:2" ht="15.75" customHeight="1" x14ac:dyDescent="0.2">
      <c r="B702" s="16"/>
    </row>
    <row r="703" spans="2:2" ht="15.75" customHeight="1" x14ac:dyDescent="0.2">
      <c r="B703" s="16"/>
    </row>
    <row r="704" spans="2:2" ht="15.75" customHeight="1" x14ac:dyDescent="0.2">
      <c r="B704" s="16"/>
    </row>
    <row r="705" spans="2:2" ht="15.75" customHeight="1" x14ac:dyDescent="0.2">
      <c r="B705" s="16"/>
    </row>
    <row r="706" spans="2:2" ht="15.75" customHeight="1" x14ac:dyDescent="0.2">
      <c r="B706" s="16"/>
    </row>
    <row r="707" spans="2:2" ht="15.75" customHeight="1" x14ac:dyDescent="0.2">
      <c r="B707" s="16"/>
    </row>
    <row r="708" spans="2:2" ht="15.75" customHeight="1" x14ac:dyDescent="0.2">
      <c r="B708" s="16"/>
    </row>
    <row r="709" spans="2:2" ht="15.75" customHeight="1" x14ac:dyDescent="0.2">
      <c r="B709" s="16"/>
    </row>
    <row r="710" spans="2:2" ht="15.75" customHeight="1" x14ac:dyDescent="0.2">
      <c r="B710" s="16"/>
    </row>
    <row r="711" spans="2:2" ht="15.75" customHeight="1" x14ac:dyDescent="0.2">
      <c r="B711" s="16"/>
    </row>
    <row r="712" spans="2:2" ht="15.75" customHeight="1" x14ac:dyDescent="0.2">
      <c r="B712" s="16"/>
    </row>
    <row r="713" spans="2:2" ht="15.75" customHeight="1" x14ac:dyDescent="0.2">
      <c r="B713" s="16"/>
    </row>
    <row r="714" spans="2:2" ht="15.75" customHeight="1" x14ac:dyDescent="0.2">
      <c r="B714" s="16"/>
    </row>
    <row r="715" spans="2:2" ht="15.75" customHeight="1" x14ac:dyDescent="0.2">
      <c r="B715" s="16"/>
    </row>
    <row r="716" spans="2:2" ht="15.75" customHeight="1" x14ac:dyDescent="0.2">
      <c r="B716" s="16"/>
    </row>
    <row r="717" spans="2:2" ht="15.75" customHeight="1" x14ac:dyDescent="0.2">
      <c r="B717" s="16"/>
    </row>
    <row r="718" spans="2:2" ht="15.75" customHeight="1" x14ac:dyDescent="0.2">
      <c r="B718" s="16"/>
    </row>
    <row r="719" spans="2:2" ht="15.75" customHeight="1" x14ac:dyDescent="0.2">
      <c r="B719" s="16"/>
    </row>
    <row r="720" spans="2:2" ht="15.75" customHeight="1" x14ac:dyDescent="0.2">
      <c r="B720" s="16"/>
    </row>
    <row r="721" spans="2:2" ht="15.75" customHeight="1" x14ac:dyDescent="0.2">
      <c r="B721" s="16"/>
    </row>
    <row r="722" spans="2:2" ht="15.75" customHeight="1" x14ac:dyDescent="0.2">
      <c r="B722" s="16"/>
    </row>
    <row r="723" spans="2:2" ht="15.75" customHeight="1" x14ac:dyDescent="0.2">
      <c r="B723" s="16"/>
    </row>
    <row r="724" spans="2:2" ht="15.75" customHeight="1" x14ac:dyDescent="0.2">
      <c r="B724" s="16"/>
    </row>
    <row r="725" spans="2:2" ht="15.75" customHeight="1" x14ac:dyDescent="0.2">
      <c r="B725" s="16"/>
    </row>
    <row r="726" spans="2:2" ht="15.75" customHeight="1" x14ac:dyDescent="0.2">
      <c r="B726" s="16"/>
    </row>
    <row r="727" spans="2:2" ht="15.75" customHeight="1" x14ac:dyDescent="0.2">
      <c r="B727" s="16"/>
    </row>
    <row r="728" spans="2:2" ht="15.75" customHeight="1" x14ac:dyDescent="0.2">
      <c r="B728" s="16"/>
    </row>
    <row r="729" spans="2:2" ht="15.75" customHeight="1" x14ac:dyDescent="0.2">
      <c r="B729" s="16"/>
    </row>
    <row r="730" spans="2:2" ht="15.75" customHeight="1" x14ac:dyDescent="0.2">
      <c r="B730" s="16"/>
    </row>
    <row r="731" spans="2:2" ht="15.75" customHeight="1" x14ac:dyDescent="0.2">
      <c r="B731" s="16"/>
    </row>
    <row r="732" spans="2:2" ht="15.75" customHeight="1" x14ac:dyDescent="0.2">
      <c r="B732" s="16"/>
    </row>
    <row r="733" spans="2:2" ht="15.75" customHeight="1" x14ac:dyDescent="0.2">
      <c r="B733" s="16"/>
    </row>
    <row r="734" spans="2:2" ht="15.75" customHeight="1" x14ac:dyDescent="0.2">
      <c r="B734" s="16"/>
    </row>
    <row r="735" spans="2:2" ht="15.75" customHeight="1" x14ac:dyDescent="0.2">
      <c r="B735" s="16"/>
    </row>
    <row r="736" spans="2:2" ht="15.75" customHeight="1" x14ac:dyDescent="0.2">
      <c r="B736" s="16"/>
    </row>
    <row r="737" spans="2:2" ht="15.75" customHeight="1" x14ac:dyDescent="0.2">
      <c r="B737" s="16"/>
    </row>
    <row r="738" spans="2:2" ht="15.75" customHeight="1" x14ac:dyDescent="0.2">
      <c r="B738" s="16"/>
    </row>
    <row r="739" spans="2:2" ht="15.75" customHeight="1" x14ac:dyDescent="0.2">
      <c r="B739" s="16"/>
    </row>
    <row r="740" spans="2:2" ht="15.75" customHeight="1" x14ac:dyDescent="0.2">
      <c r="B740" s="16"/>
    </row>
    <row r="741" spans="2:2" ht="15.75" customHeight="1" x14ac:dyDescent="0.2">
      <c r="B741" s="16"/>
    </row>
    <row r="742" spans="2:2" ht="15.75" customHeight="1" x14ac:dyDescent="0.2">
      <c r="B742" s="16"/>
    </row>
    <row r="743" spans="2:2" ht="15.75" customHeight="1" x14ac:dyDescent="0.2">
      <c r="B743" s="16"/>
    </row>
    <row r="744" spans="2:2" ht="15.75" customHeight="1" x14ac:dyDescent="0.2">
      <c r="B744" s="16"/>
    </row>
    <row r="745" spans="2:2" ht="15.75" customHeight="1" x14ac:dyDescent="0.2">
      <c r="B745" s="16"/>
    </row>
    <row r="746" spans="2:2" ht="15.75" customHeight="1" x14ac:dyDescent="0.2">
      <c r="B746" s="16"/>
    </row>
    <row r="747" spans="2:2" ht="15.75" customHeight="1" x14ac:dyDescent="0.2">
      <c r="B747" s="16"/>
    </row>
    <row r="748" spans="2:2" ht="15.75" customHeight="1" x14ac:dyDescent="0.2">
      <c r="B748" s="16"/>
    </row>
    <row r="749" spans="2:2" ht="15.75" customHeight="1" x14ac:dyDescent="0.2">
      <c r="B749" s="16"/>
    </row>
    <row r="750" spans="2:2" ht="15.75" customHeight="1" x14ac:dyDescent="0.2">
      <c r="B750" s="16"/>
    </row>
    <row r="751" spans="2:2" ht="15.75" customHeight="1" x14ac:dyDescent="0.2">
      <c r="B751" s="16"/>
    </row>
    <row r="752" spans="2:2" ht="15.75" customHeight="1" x14ac:dyDescent="0.2">
      <c r="B752" s="16"/>
    </row>
    <row r="753" spans="2:2" ht="15.75" customHeight="1" x14ac:dyDescent="0.2">
      <c r="B753" s="16"/>
    </row>
    <row r="754" spans="2:2" ht="15.75" customHeight="1" x14ac:dyDescent="0.2">
      <c r="B754" s="16"/>
    </row>
    <row r="755" spans="2:2" ht="15.75" customHeight="1" x14ac:dyDescent="0.2">
      <c r="B755" s="16"/>
    </row>
    <row r="756" spans="2:2" ht="15.75" customHeight="1" x14ac:dyDescent="0.2">
      <c r="B756" s="16"/>
    </row>
    <row r="757" spans="2:2" ht="15.75" customHeight="1" x14ac:dyDescent="0.2">
      <c r="B757" s="16"/>
    </row>
    <row r="758" spans="2:2" ht="15.75" customHeight="1" x14ac:dyDescent="0.2">
      <c r="B758" s="16"/>
    </row>
    <row r="759" spans="2:2" ht="15.75" customHeight="1" x14ac:dyDescent="0.2">
      <c r="B759" s="16"/>
    </row>
    <row r="760" spans="2:2" ht="15.75" customHeight="1" x14ac:dyDescent="0.2">
      <c r="B760" s="16"/>
    </row>
    <row r="761" spans="2:2" ht="15.75" customHeight="1" x14ac:dyDescent="0.2">
      <c r="B761" s="16"/>
    </row>
    <row r="762" spans="2:2" ht="15.75" customHeight="1" x14ac:dyDescent="0.2">
      <c r="B762" s="16"/>
    </row>
    <row r="763" spans="2:2" ht="15.75" customHeight="1" x14ac:dyDescent="0.2">
      <c r="B763" s="16"/>
    </row>
    <row r="764" spans="2:2" ht="15.75" customHeight="1" x14ac:dyDescent="0.2">
      <c r="B764" s="16"/>
    </row>
    <row r="765" spans="2:2" ht="15.75" customHeight="1" x14ac:dyDescent="0.2">
      <c r="B765" s="16"/>
    </row>
    <row r="766" spans="2:2" ht="15.75" customHeight="1" x14ac:dyDescent="0.2">
      <c r="B766" s="16"/>
    </row>
    <row r="767" spans="2:2" ht="15.75" customHeight="1" x14ac:dyDescent="0.2">
      <c r="B767" s="16"/>
    </row>
    <row r="768" spans="2:2" ht="15.75" customHeight="1" x14ac:dyDescent="0.2">
      <c r="B768" s="16"/>
    </row>
    <row r="769" spans="2:2" ht="15.75" customHeight="1" x14ac:dyDescent="0.2">
      <c r="B769" s="16"/>
    </row>
    <row r="770" spans="2:2" ht="15.75" customHeight="1" x14ac:dyDescent="0.2">
      <c r="B770" s="16"/>
    </row>
    <row r="771" spans="2:2" ht="15.75" customHeight="1" x14ac:dyDescent="0.2">
      <c r="B771" s="16"/>
    </row>
    <row r="772" spans="2:2" ht="15.75" customHeight="1" x14ac:dyDescent="0.2">
      <c r="B772" s="16"/>
    </row>
    <row r="773" spans="2:2" ht="15.75" customHeight="1" x14ac:dyDescent="0.2">
      <c r="B773" s="16"/>
    </row>
    <row r="774" spans="2:2" ht="15.75" customHeight="1" x14ac:dyDescent="0.2">
      <c r="B774" s="16"/>
    </row>
    <row r="775" spans="2:2" ht="15.75" customHeight="1" x14ac:dyDescent="0.2">
      <c r="B775" s="16"/>
    </row>
    <row r="776" spans="2:2" ht="15.75" customHeight="1" x14ac:dyDescent="0.2">
      <c r="B776" s="16"/>
    </row>
    <row r="777" spans="2:2" ht="15.75" customHeight="1" x14ac:dyDescent="0.2">
      <c r="B777" s="16"/>
    </row>
    <row r="778" spans="2:2" ht="15.75" customHeight="1" x14ac:dyDescent="0.2">
      <c r="B778" s="16"/>
    </row>
    <row r="779" spans="2:2" ht="15.75" customHeight="1" x14ac:dyDescent="0.2">
      <c r="B779" s="16"/>
    </row>
    <row r="780" spans="2:2" ht="15.75" customHeight="1" x14ac:dyDescent="0.2">
      <c r="B780" s="16"/>
    </row>
    <row r="781" spans="2:2" ht="15.75" customHeight="1" x14ac:dyDescent="0.2">
      <c r="B781" s="16"/>
    </row>
    <row r="782" spans="2:2" ht="15.75" customHeight="1" x14ac:dyDescent="0.2">
      <c r="B782" s="16"/>
    </row>
    <row r="783" spans="2:2" ht="15.75" customHeight="1" x14ac:dyDescent="0.2">
      <c r="B783" s="16"/>
    </row>
    <row r="784" spans="2:2" ht="15.75" customHeight="1" x14ac:dyDescent="0.2">
      <c r="B784" s="16"/>
    </row>
    <row r="785" spans="2:2" ht="15.75" customHeight="1" x14ac:dyDescent="0.2">
      <c r="B785" s="16"/>
    </row>
    <row r="786" spans="2:2" ht="15.75" customHeight="1" x14ac:dyDescent="0.2">
      <c r="B786" s="16"/>
    </row>
    <row r="787" spans="2:2" ht="15.75" customHeight="1" x14ac:dyDescent="0.2">
      <c r="B787" s="16"/>
    </row>
    <row r="788" spans="2:2" ht="15.75" customHeight="1" x14ac:dyDescent="0.2">
      <c r="B788" s="16"/>
    </row>
    <row r="789" spans="2:2" ht="15.75" customHeight="1" x14ac:dyDescent="0.2">
      <c r="B789" s="16"/>
    </row>
    <row r="790" spans="2:2" ht="15.75" customHeight="1" x14ac:dyDescent="0.2">
      <c r="B790" s="16"/>
    </row>
    <row r="791" spans="2:2" ht="15.75" customHeight="1" x14ac:dyDescent="0.2">
      <c r="B791" s="16"/>
    </row>
    <row r="792" spans="2:2" ht="15.75" customHeight="1" x14ac:dyDescent="0.2">
      <c r="B792" s="16"/>
    </row>
    <row r="793" spans="2:2" ht="15.75" customHeight="1" x14ac:dyDescent="0.2">
      <c r="B793" s="16"/>
    </row>
    <row r="794" spans="2:2" ht="15.75" customHeight="1" x14ac:dyDescent="0.2">
      <c r="B794" s="16"/>
    </row>
    <row r="795" spans="2:2" ht="15.75" customHeight="1" x14ac:dyDescent="0.2">
      <c r="B795" s="16"/>
    </row>
    <row r="796" spans="2:2" ht="15.75" customHeight="1" x14ac:dyDescent="0.2">
      <c r="B796" s="16"/>
    </row>
    <row r="797" spans="2:2" ht="15.75" customHeight="1" x14ac:dyDescent="0.2">
      <c r="B797" s="16"/>
    </row>
    <row r="798" spans="2:2" ht="15.75" customHeight="1" x14ac:dyDescent="0.2">
      <c r="B798" s="16"/>
    </row>
    <row r="799" spans="2:2" ht="15.75" customHeight="1" x14ac:dyDescent="0.2">
      <c r="B799" s="16"/>
    </row>
    <row r="800" spans="2:2" ht="15.75" customHeight="1" x14ac:dyDescent="0.2">
      <c r="B800" s="16"/>
    </row>
    <row r="801" spans="2:2" ht="15.75" customHeight="1" x14ac:dyDescent="0.2">
      <c r="B801" s="16"/>
    </row>
    <row r="802" spans="2:2" ht="15.75" customHeight="1" x14ac:dyDescent="0.2">
      <c r="B802" s="16"/>
    </row>
    <row r="803" spans="2:2" ht="15.75" customHeight="1" x14ac:dyDescent="0.2">
      <c r="B803" s="16"/>
    </row>
    <row r="804" spans="2:2" ht="15.75" customHeight="1" x14ac:dyDescent="0.2">
      <c r="B804" s="16"/>
    </row>
    <row r="805" spans="2:2" ht="15.75" customHeight="1" x14ac:dyDescent="0.2">
      <c r="B805" s="16"/>
    </row>
    <row r="806" spans="2:2" ht="15.75" customHeight="1" x14ac:dyDescent="0.2">
      <c r="B806" s="16"/>
    </row>
    <row r="807" spans="2:2" ht="15.75" customHeight="1" x14ac:dyDescent="0.2">
      <c r="B807" s="16"/>
    </row>
    <row r="808" spans="2:2" ht="15.75" customHeight="1" x14ac:dyDescent="0.2">
      <c r="B808" s="16"/>
    </row>
    <row r="809" spans="2:2" ht="15.75" customHeight="1" x14ac:dyDescent="0.2">
      <c r="B809" s="16"/>
    </row>
    <row r="810" spans="2:2" ht="15.75" customHeight="1" x14ac:dyDescent="0.2">
      <c r="B810" s="16"/>
    </row>
    <row r="811" spans="2:2" ht="15.75" customHeight="1" x14ac:dyDescent="0.2">
      <c r="B811" s="16"/>
    </row>
    <row r="812" spans="2:2" ht="15.75" customHeight="1" x14ac:dyDescent="0.2">
      <c r="B812" s="16"/>
    </row>
    <row r="813" spans="2:2" ht="15.75" customHeight="1" x14ac:dyDescent="0.2">
      <c r="B813" s="16"/>
    </row>
    <row r="814" spans="2:2" ht="15.75" customHeight="1" x14ac:dyDescent="0.2">
      <c r="B814" s="16"/>
    </row>
    <row r="815" spans="2:2" ht="15.75" customHeight="1" x14ac:dyDescent="0.2">
      <c r="B815" s="16"/>
    </row>
    <row r="816" spans="2:2" ht="15.75" customHeight="1" x14ac:dyDescent="0.2">
      <c r="B816" s="16"/>
    </row>
    <row r="817" spans="2:2" ht="15.75" customHeight="1" x14ac:dyDescent="0.2">
      <c r="B817" s="16"/>
    </row>
    <row r="818" spans="2:2" ht="15.75" customHeight="1" x14ac:dyDescent="0.2">
      <c r="B818" s="16"/>
    </row>
    <row r="819" spans="2:2" ht="15.75" customHeight="1" x14ac:dyDescent="0.2">
      <c r="B819" s="16"/>
    </row>
    <row r="820" spans="2:2" ht="15.75" customHeight="1" x14ac:dyDescent="0.2">
      <c r="B820" s="16"/>
    </row>
    <row r="821" spans="2:2" ht="15.75" customHeight="1" x14ac:dyDescent="0.2">
      <c r="B821" s="16"/>
    </row>
    <row r="822" spans="2:2" ht="15.75" customHeight="1" x14ac:dyDescent="0.2">
      <c r="B822" s="16"/>
    </row>
    <row r="823" spans="2:2" ht="15.75" customHeight="1" x14ac:dyDescent="0.2">
      <c r="B823" s="16"/>
    </row>
    <row r="824" spans="2:2" ht="15.75" customHeight="1" x14ac:dyDescent="0.2">
      <c r="B824" s="16"/>
    </row>
    <row r="825" spans="2:2" ht="15.75" customHeight="1" x14ac:dyDescent="0.2">
      <c r="B825" s="16"/>
    </row>
    <row r="826" spans="2:2" ht="15.75" customHeight="1" x14ac:dyDescent="0.2">
      <c r="B826" s="16"/>
    </row>
    <row r="827" spans="2:2" ht="15.75" customHeight="1" x14ac:dyDescent="0.2">
      <c r="B827" s="16"/>
    </row>
    <row r="828" spans="2:2" ht="15.75" customHeight="1" x14ac:dyDescent="0.2">
      <c r="B828" s="16"/>
    </row>
    <row r="829" spans="2:2" ht="15.75" customHeight="1" x14ac:dyDescent="0.2">
      <c r="B829" s="16"/>
    </row>
    <row r="830" spans="2:2" ht="15.75" customHeight="1" x14ac:dyDescent="0.2">
      <c r="B830" s="16"/>
    </row>
    <row r="831" spans="2:2" ht="15.75" customHeight="1" x14ac:dyDescent="0.2">
      <c r="B831" s="16"/>
    </row>
    <row r="832" spans="2:2" ht="15.75" customHeight="1" x14ac:dyDescent="0.2">
      <c r="B832" s="16"/>
    </row>
    <row r="833" spans="2:2" ht="15.75" customHeight="1" x14ac:dyDescent="0.2">
      <c r="B833" s="16"/>
    </row>
    <row r="834" spans="2:2" ht="15.75" customHeight="1" x14ac:dyDescent="0.2">
      <c r="B834" s="16"/>
    </row>
    <row r="835" spans="2:2" ht="15.75" customHeight="1" x14ac:dyDescent="0.2">
      <c r="B835" s="16"/>
    </row>
    <row r="836" spans="2:2" ht="15.75" customHeight="1" x14ac:dyDescent="0.2">
      <c r="B836" s="16"/>
    </row>
    <row r="837" spans="2:2" ht="15.75" customHeight="1" x14ac:dyDescent="0.2">
      <c r="B837" s="16"/>
    </row>
    <row r="838" spans="2:2" ht="15.75" customHeight="1" x14ac:dyDescent="0.2">
      <c r="B838" s="16"/>
    </row>
    <row r="839" spans="2:2" ht="15.75" customHeight="1" x14ac:dyDescent="0.2">
      <c r="B839" s="16"/>
    </row>
    <row r="840" spans="2:2" ht="15.75" customHeight="1" x14ac:dyDescent="0.2">
      <c r="B840" s="16"/>
    </row>
    <row r="841" spans="2:2" ht="15.75" customHeight="1" x14ac:dyDescent="0.2">
      <c r="B841" s="16"/>
    </row>
    <row r="842" spans="2:2" ht="15.75" customHeight="1" x14ac:dyDescent="0.2">
      <c r="B842" s="16"/>
    </row>
    <row r="843" spans="2:2" ht="15.75" customHeight="1" x14ac:dyDescent="0.2">
      <c r="B843" s="16"/>
    </row>
    <row r="844" spans="2:2" ht="15.75" customHeight="1" x14ac:dyDescent="0.2">
      <c r="B844" s="16"/>
    </row>
    <row r="845" spans="2:2" ht="15.75" customHeight="1" x14ac:dyDescent="0.2">
      <c r="B845" s="16"/>
    </row>
    <row r="846" spans="2:2" ht="15.75" customHeight="1" x14ac:dyDescent="0.2">
      <c r="B846" s="16"/>
    </row>
    <row r="847" spans="2:2" ht="15.75" customHeight="1" x14ac:dyDescent="0.2">
      <c r="B847" s="16"/>
    </row>
    <row r="848" spans="2:2" ht="15.75" customHeight="1" x14ac:dyDescent="0.2">
      <c r="B848" s="16"/>
    </row>
    <row r="849" spans="2:2" ht="15.75" customHeight="1" x14ac:dyDescent="0.2">
      <c r="B849" s="16"/>
    </row>
    <row r="850" spans="2:2" ht="15.75" customHeight="1" x14ac:dyDescent="0.2">
      <c r="B850" s="16"/>
    </row>
    <row r="851" spans="2:2" ht="15.75" customHeight="1" x14ac:dyDescent="0.2">
      <c r="B851" s="16"/>
    </row>
    <row r="852" spans="2:2" ht="15.75" customHeight="1" x14ac:dyDescent="0.2">
      <c r="B852" s="16"/>
    </row>
    <row r="853" spans="2:2" ht="15.75" customHeight="1" x14ac:dyDescent="0.2">
      <c r="B853" s="16"/>
    </row>
    <row r="854" spans="2:2" ht="15.75" customHeight="1" x14ac:dyDescent="0.2">
      <c r="B854" s="16"/>
    </row>
    <row r="855" spans="2:2" ht="15.75" customHeight="1" x14ac:dyDescent="0.2">
      <c r="B855" s="16"/>
    </row>
    <row r="856" spans="2:2" ht="15.75" customHeight="1" x14ac:dyDescent="0.2">
      <c r="B856" s="16"/>
    </row>
    <row r="857" spans="2:2" ht="15.75" customHeight="1" x14ac:dyDescent="0.2">
      <c r="B857" s="16"/>
    </row>
    <row r="858" spans="2:2" ht="15.75" customHeight="1" x14ac:dyDescent="0.2">
      <c r="B858" s="16"/>
    </row>
    <row r="859" spans="2:2" ht="15.75" customHeight="1" x14ac:dyDescent="0.2">
      <c r="B859" s="16"/>
    </row>
    <row r="860" spans="2:2" ht="15.75" customHeight="1" x14ac:dyDescent="0.2">
      <c r="B860" s="16"/>
    </row>
    <row r="861" spans="2:2" ht="15.75" customHeight="1" x14ac:dyDescent="0.2">
      <c r="B861" s="16"/>
    </row>
    <row r="862" spans="2:2" ht="15.75" customHeight="1" x14ac:dyDescent="0.2">
      <c r="B862" s="16"/>
    </row>
    <row r="863" spans="2:2" ht="15.75" customHeight="1" x14ac:dyDescent="0.2">
      <c r="B863" s="16"/>
    </row>
    <row r="864" spans="2:2" ht="15.75" customHeight="1" x14ac:dyDescent="0.2">
      <c r="B864" s="16"/>
    </row>
    <row r="865" spans="2:2" ht="15.75" customHeight="1" x14ac:dyDescent="0.2">
      <c r="B865" s="16"/>
    </row>
    <row r="866" spans="2:2" ht="15.75" customHeight="1" x14ac:dyDescent="0.2">
      <c r="B866" s="16"/>
    </row>
    <row r="867" spans="2:2" ht="15.75" customHeight="1" x14ac:dyDescent="0.2">
      <c r="B867" s="16"/>
    </row>
    <row r="868" spans="2:2" ht="15.75" customHeight="1" x14ac:dyDescent="0.2">
      <c r="B868" s="16"/>
    </row>
    <row r="869" spans="2:2" ht="15.75" customHeight="1" x14ac:dyDescent="0.2">
      <c r="B869" s="16"/>
    </row>
    <row r="870" spans="2:2" ht="15.75" customHeight="1" x14ac:dyDescent="0.2">
      <c r="B870" s="16"/>
    </row>
    <row r="871" spans="2:2" ht="15.75" customHeight="1" x14ac:dyDescent="0.2">
      <c r="B871" s="16"/>
    </row>
    <row r="872" spans="2:2" ht="15.75" customHeight="1" x14ac:dyDescent="0.2">
      <c r="B872" s="16"/>
    </row>
    <row r="873" spans="2:2" ht="15.75" customHeight="1" x14ac:dyDescent="0.2">
      <c r="B873" s="16"/>
    </row>
    <row r="874" spans="2:2" ht="15.75" customHeight="1" x14ac:dyDescent="0.2">
      <c r="B874" s="16"/>
    </row>
    <row r="875" spans="2:2" ht="15.75" customHeight="1" x14ac:dyDescent="0.2">
      <c r="B875" s="16"/>
    </row>
    <row r="876" spans="2:2" ht="15.75" customHeight="1" x14ac:dyDescent="0.2">
      <c r="B876" s="16"/>
    </row>
    <row r="877" spans="2:2" ht="15.75" customHeight="1" x14ac:dyDescent="0.2">
      <c r="B877" s="16"/>
    </row>
    <row r="878" spans="2:2" ht="15.75" customHeight="1" x14ac:dyDescent="0.2">
      <c r="B878" s="16"/>
    </row>
    <row r="879" spans="2:2" ht="15.75" customHeight="1" x14ac:dyDescent="0.2">
      <c r="B879" s="16"/>
    </row>
    <row r="880" spans="2:2" ht="15.75" customHeight="1" x14ac:dyDescent="0.2">
      <c r="B880" s="16"/>
    </row>
    <row r="881" spans="2:2" ht="15.75" customHeight="1" x14ac:dyDescent="0.2">
      <c r="B881" s="16"/>
    </row>
    <row r="882" spans="2:2" ht="15.75" customHeight="1" x14ac:dyDescent="0.2">
      <c r="B882" s="16"/>
    </row>
    <row r="883" spans="2:2" ht="15.75" customHeight="1" x14ac:dyDescent="0.2">
      <c r="B883" s="16"/>
    </row>
    <row r="884" spans="2:2" ht="15.75" customHeight="1" x14ac:dyDescent="0.2">
      <c r="B884" s="16"/>
    </row>
    <row r="885" spans="2:2" ht="15.75" customHeight="1" x14ac:dyDescent="0.2">
      <c r="B885" s="16"/>
    </row>
    <row r="886" spans="2:2" ht="15.75" customHeight="1" x14ac:dyDescent="0.2">
      <c r="B886" s="16"/>
    </row>
    <row r="887" spans="2:2" ht="15.75" customHeight="1" x14ac:dyDescent="0.2">
      <c r="B887" s="16"/>
    </row>
    <row r="888" spans="2:2" ht="15.75" customHeight="1" x14ac:dyDescent="0.2">
      <c r="B888" s="16"/>
    </row>
    <row r="889" spans="2:2" ht="15.75" customHeight="1" x14ac:dyDescent="0.2">
      <c r="B889" s="16"/>
    </row>
    <row r="890" spans="2:2" ht="15.75" customHeight="1" x14ac:dyDescent="0.2">
      <c r="B890" s="16"/>
    </row>
    <row r="891" spans="2:2" ht="15.75" customHeight="1" x14ac:dyDescent="0.2">
      <c r="B891" s="16"/>
    </row>
    <row r="892" spans="2:2" ht="15.75" customHeight="1" x14ac:dyDescent="0.2">
      <c r="B892" s="16"/>
    </row>
    <row r="893" spans="2:2" ht="15.75" customHeight="1" x14ac:dyDescent="0.2">
      <c r="B893" s="16"/>
    </row>
    <row r="894" spans="2:2" ht="15.75" customHeight="1" x14ac:dyDescent="0.2">
      <c r="B894" s="16"/>
    </row>
    <row r="895" spans="2:2" ht="15.75" customHeight="1" x14ac:dyDescent="0.2">
      <c r="B895" s="16"/>
    </row>
    <row r="896" spans="2:2" ht="15.75" customHeight="1" x14ac:dyDescent="0.2">
      <c r="B896" s="16"/>
    </row>
    <row r="897" spans="2:2" ht="15.75" customHeight="1" x14ac:dyDescent="0.2">
      <c r="B897" s="16"/>
    </row>
    <row r="898" spans="2:2" ht="15.75" customHeight="1" x14ac:dyDescent="0.2">
      <c r="B898" s="16"/>
    </row>
    <row r="899" spans="2:2" ht="15.75" customHeight="1" x14ac:dyDescent="0.2">
      <c r="B899" s="16"/>
    </row>
    <row r="900" spans="2:2" ht="15.75" customHeight="1" x14ac:dyDescent="0.2">
      <c r="B900" s="16"/>
    </row>
    <row r="901" spans="2:2" ht="15.75" customHeight="1" x14ac:dyDescent="0.2">
      <c r="B901" s="16"/>
    </row>
    <row r="902" spans="2:2" ht="15.75" customHeight="1" x14ac:dyDescent="0.2">
      <c r="B902" s="16"/>
    </row>
    <row r="903" spans="2:2" ht="15.75" customHeight="1" x14ac:dyDescent="0.2">
      <c r="B903" s="16"/>
    </row>
    <row r="904" spans="2:2" ht="15.75" customHeight="1" x14ac:dyDescent="0.2">
      <c r="B904" s="16"/>
    </row>
    <row r="905" spans="2:2" ht="15.75" customHeight="1" x14ac:dyDescent="0.2">
      <c r="B905" s="16"/>
    </row>
    <row r="906" spans="2:2" ht="15.75" customHeight="1" x14ac:dyDescent="0.2">
      <c r="B906" s="16"/>
    </row>
    <row r="907" spans="2:2" ht="15.75" customHeight="1" x14ac:dyDescent="0.2">
      <c r="B907" s="16"/>
    </row>
    <row r="908" spans="2:2" ht="15.75" customHeight="1" x14ac:dyDescent="0.2">
      <c r="B908" s="16"/>
    </row>
    <row r="909" spans="2:2" ht="15.75" customHeight="1" x14ac:dyDescent="0.2">
      <c r="B909" s="16"/>
    </row>
    <row r="910" spans="2:2" ht="15.75" customHeight="1" x14ac:dyDescent="0.2">
      <c r="B910" s="16"/>
    </row>
    <row r="911" spans="2:2" ht="15.75" customHeight="1" x14ac:dyDescent="0.2">
      <c r="B911" s="16"/>
    </row>
    <row r="912" spans="2:2" ht="15.75" customHeight="1" x14ac:dyDescent="0.2">
      <c r="B912" s="16"/>
    </row>
    <row r="913" spans="2:2" ht="15.75" customHeight="1" x14ac:dyDescent="0.2">
      <c r="B913" s="16"/>
    </row>
    <row r="914" spans="2:2" ht="15.75" customHeight="1" x14ac:dyDescent="0.2">
      <c r="B914" s="16"/>
    </row>
    <row r="915" spans="2:2" ht="15.75" customHeight="1" x14ac:dyDescent="0.2">
      <c r="B915" s="16"/>
    </row>
    <row r="916" spans="2:2" ht="15.75" customHeight="1" x14ac:dyDescent="0.2">
      <c r="B916" s="16"/>
    </row>
    <row r="917" spans="2:2" ht="15.75" customHeight="1" x14ac:dyDescent="0.2">
      <c r="B917" s="16"/>
    </row>
    <row r="918" spans="2:2" ht="15.75" customHeight="1" x14ac:dyDescent="0.2">
      <c r="B918" s="16"/>
    </row>
    <row r="919" spans="2:2" ht="15.75" customHeight="1" x14ac:dyDescent="0.2">
      <c r="B919" s="16"/>
    </row>
    <row r="920" spans="2:2" ht="15.75" customHeight="1" x14ac:dyDescent="0.2">
      <c r="B920" s="16"/>
    </row>
    <row r="921" spans="2:2" ht="15.75" customHeight="1" x14ac:dyDescent="0.2">
      <c r="B921" s="16"/>
    </row>
    <row r="922" spans="2:2" ht="15.75" customHeight="1" x14ac:dyDescent="0.2">
      <c r="B922" s="16"/>
    </row>
    <row r="923" spans="2:2" ht="15.75" customHeight="1" x14ac:dyDescent="0.2">
      <c r="B923" s="16"/>
    </row>
    <row r="924" spans="2:2" ht="15.75" customHeight="1" x14ac:dyDescent="0.2">
      <c r="B924" s="16"/>
    </row>
    <row r="925" spans="2:2" ht="15.75" customHeight="1" x14ac:dyDescent="0.2">
      <c r="B925" s="16"/>
    </row>
    <row r="926" spans="2:2" ht="15.75" customHeight="1" x14ac:dyDescent="0.2">
      <c r="B926" s="16"/>
    </row>
    <row r="927" spans="2:2" ht="15.75" customHeight="1" x14ac:dyDescent="0.2">
      <c r="B927" s="16"/>
    </row>
    <row r="928" spans="2:2" ht="15.75" customHeight="1" x14ac:dyDescent="0.2">
      <c r="B928" s="16"/>
    </row>
    <row r="929" spans="2:2" ht="15.75" customHeight="1" x14ac:dyDescent="0.2">
      <c r="B929" s="16"/>
    </row>
    <row r="930" spans="2:2" ht="15.75" customHeight="1" x14ac:dyDescent="0.2">
      <c r="B930" s="16"/>
    </row>
    <row r="931" spans="2:2" ht="15.75" customHeight="1" x14ac:dyDescent="0.2">
      <c r="B931" s="16"/>
    </row>
    <row r="932" spans="2:2" ht="15.75" customHeight="1" x14ac:dyDescent="0.2">
      <c r="B932" s="16"/>
    </row>
    <row r="933" spans="2:2" ht="15.75" customHeight="1" x14ac:dyDescent="0.2">
      <c r="B933" s="16"/>
    </row>
    <row r="934" spans="2:2" ht="15.75" customHeight="1" x14ac:dyDescent="0.2">
      <c r="B934" s="16"/>
    </row>
    <row r="935" spans="2:2" ht="15.75" customHeight="1" x14ac:dyDescent="0.2">
      <c r="B935" s="16"/>
    </row>
    <row r="936" spans="2:2" ht="15.75" customHeight="1" x14ac:dyDescent="0.2">
      <c r="B936" s="16"/>
    </row>
    <row r="937" spans="2:2" ht="15.75" customHeight="1" x14ac:dyDescent="0.2">
      <c r="B937" s="16"/>
    </row>
    <row r="938" spans="2:2" ht="15.75" customHeight="1" x14ac:dyDescent="0.2">
      <c r="B938" s="16"/>
    </row>
    <row r="939" spans="2:2" ht="15.75" customHeight="1" x14ac:dyDescent="0.2">
      <c r="B939" s="16"/>
    </row>
    <row r="940" spans="2:2" ht="15.75" customHeight="1" x14ac:dyDescent="0.2">
      <c r="B940" s="16"/>
    </row>
    <row r="941" spans="2:2" ht="15.75" customHeight="1" x14ac:dyDescent="0.2">
      <c r="B941" s="16"/>
    </row>
    <row r="942" spans="2:2" ht="15.75" customHeight="1" x14ac:dyDescent="0.2">
      <c r="B942" s="16"/>
    </row>
    <row r="943" spans="2:2" ht="15.75" customHeight="1" x14ac:dyDescent="0.2">
      <c r="B943" s="16"/>
    </row>
    <row r="944" spans="2:2" ht="15.75" customHeight="1" x14ac:dyDescent="0.2">
      <c r="B944" s="16"/>
    </row>
    <row r="945" spans="2:2" ht="15.75" customHeight="1" x14ac:dyDescent="0.2">
      <c r="B945" s="16"/>
    </row>
    <row r="946" spans="2:2" ht="15.75" customHeight="1" x14ac:dyDescent="0.2">
      <c r="B946" s="16"/>
    </row>
    <row r="947" spans="2:2" ht="15.75" customHeight="1" x14ac:dyDescent="0.2">
      <c r="B947" s="16"/>
    </row>
    <row r="948" spans="2:2" ht="15.75" customHeight="1" x14ac:dyDescent="0.2">
      <c r="B948" s="16"/>
    </row>
    <row r="949" spans="2:2" ht="15.75" customHeight="1" x14ac:dyDescent="0.2">
      <c r="B949" s="16"/>
    </row>
    <row r="950" spans="2:2" ht="15.75" customHeight="1" x14ac:dyDescent="0.2">
      <c r="B950" s="16"/>
    </row>
    <row r="951" spans="2:2" ht="15.75" customHeight="1" x14ac:dyDescent="0.2">
      <c r="B951" s="16"/>
    </row>
    <row r="952" spans="2:2" ht="15.75" customHeight="1" x14ac:dyDescent="0.2">
      <c r="B952" s="16"/>
    </row>
    <row r="953" spans="2:2" ht="15.75" customHeight="1" x14ac:dyDescent="0.2">
      <c r="B953" s="16"/>
    </row>
    <row r="954" spans="2:2" ht="15.75" customHeight="1" x14ac:dyDescent="0.2">
      <c r="B954" s="16"/>
    </row>
    <row r="955" spans="2:2" ht="15.75" customHeight="1" x14ac:dyDescent="0.2">
      <c r="B955" s="16"/>
    </row>
    <row r="956" spans="2:2" ht="15.75" customHeight="1" x14ac:dyDescent="0.2">
      <c r="B956" s="16"/>
    </row>
    <row r="957" spans="2:2" ht="15.75" customHeight="1" x14ac:dyDescent="0.2">
      <c r="B957" s="16"/>
    </row>
    <row r="958" spans="2:2" ht="15.75" customHeight="1" x14ac:dyDescent="0.2">
      <c r="B958" s="16"/>
    </row>
    <row r="959" spans="2:2" ht="15.75" customHeight="1" x14ac:dyDescent="0.2">
      <c r="B959" s="16"/>
    </row>
    <row r="960" spans="2:2" ht="15.75" customHeight="1" x14ac:dyDescent="0.2">
      <c r="B960" s="16"/>
    </row>
    <row r="961" spans="2:2" ht="15.75" customHeight="1" x14ac:dyDescent="0.2">
      <c r="B961" s="16"/>
    </row>
    <row r="962" spans="2:2" ht="15.75" customHeight="1" x14ac:dyDescent="0.2">
      <c r="B962" s="16"/>
    </row>
    <row r="963" spans="2:2" ht="15.75" customHeight="1" x14ac:dyDescent="0.2">
      <c r="B963" s="16"/>
    </row>
    <row r="964" spans="2:2" ht="15.75" customHeight="1" x14ac:dyDescent="0.2">
      <c r="B964" s="16"/>
    </row>
    <row r="965" spans="2:2" ht="15.75" customHeight="1" x14ac:dyDescent="0.2">
      <c r="B965" s="16"/>
    </row>
    <row r="966" spans="2:2" ht="15.75" customHeight="1" x14ac:dyDescent="0.2">
      <c r="B966" s="16"/>
    </row>
    <row r="967" spans="2:2" ht="15.75" customHeight="1" x14ac:dyDescent="0.2">
      <c r="B967" s="16"/>
    </row>
    <row r="968" spans="2:2" ht="15.75" customHeight="1" x14ac:dyDescent="0.2">
      <c r="B968" s="16"/>
    </row>
    <row r="969" spans="2:2" ht="15.75" customHeight="1" x14ac:dyDescent="0.2">
      <c r="B969" s="16"/>
    </row>
    <row r="970" spans="2:2" ht="15.75" customHeight="1" x14ac:dyDescent="0.2">
      <c r="B970" s="16"/>
    </row>
    <row r="971" spans="2:2" ht="15.75" customHeight="1" x14ac:dyDescent="0.2">
      <c r="B971" s="16"/>
    </row>
    <row r="972" spans="2:2" ht="15.75" customHeight="1" x14ac:dyDescent="0.2">
      <c r="B972" s="16"/>
    </row>
    <row r="973" spans="2:2" ht="15.75" customHeight="1" x14ac:dyDescent="0.2">
      <c r="B973" s="16"/>
    </row>
    <row r="974" spans="2:2" ht="15.75" customHeight="1" x14ac:dyDescent="0.2">
      <c r="B974" s="16"/>
    </row>
    <row r="975" spans="2:2" ht="15.75" customHeight="1" x14ac:dyDescent="0.2">
      <c r="B975" s="16"/>
    </row>
    <row r="976" spans="2:2" ht="15.75" customHeight="1" x14ac:dyDescent="0.2">
      <c r="B976" s="16"/>
    </row>
    <row r="977" spans="2:2" ht="15.75" customHeight="1" x14ac:dyDescent="0.2">
      <c r="B977" s="16"/>
    </row>
    <row r="978" spans="2:2" ht="15.75" customHeight="1" x14ac:dyDescent="0.2">
      <c r="B978" s="16"/>
    </row>
    <row r="979" spans="2:2" ht="15.75" customHeight="1" x14ac:dyDescent="0.2">
      <c r="B979" s="16"/>
    </row>
    <row r="980" spans="2:2" ht="15.75" customHeight="1" x14ac:dyDescent="0.2">
      <c r="B980" s="16"/>
    </row>
    <row r="981" spans="2:2" ht="15.75" customHeight="1" x14ac:dyDescent="0.2">
      <c r="B981" s="16"/>
    </row>
    <row r="982" spans="2:2" ht="15.75" customHeight="1" x14ac:dyDescent="0.2">
      <c r="B982" s="16"/>
    </row>
    <row r="983" spans="2:2" ht="15.75" customHeight="1" x14ac:dyDescent="0.2">
      <c r="B983" s="16"/>
    </row>
    <row r="984" spans="2:2" ht="15.75" customHeight="1" x14ac:dyDescent="0.2">
      <c r="B984" s="16"/>
    </row>
    <row r="985" spans="2:2" ht="15.75" customHeight="1" x14ac:dyDescent="0.2">
      <c r="B985" s="16"/>
    </row>
    <row r="986" spans="2:2" ht="15.75" customHeight="1" x14ac:dyDescent="0.2">
      <c r="B986" s="16"/>
    </row>
    <row r="987" spans="2:2" ht="15.75" customHeight="1" x14ac:dyDescent="0.2">
      <c r="B987" s="16"/>
    </row>
    <row r="988" spans="2:2" ht="15.75" customHeight="1" x14ac:dyDescent="0.2">
      <c r="B988" s="16"/>
    </row>
    <row r="989" spans="2:2" ht="15.75" customHeight="1" x14ac:dyDescent="0.2">
      <c r="B989" s="16"/>
    </row>
    <row r="990" spans="2:2" ht="15.75" customHeight="1" x14ac:dyDescent="0.2">
      <c r="B990" s="16"/>
    </row>
    <row r="991" spans="2:2" ht="15.75" customHeight="1" x14ac:dyDescent="0.2">
      <c r="B991" s="16"/>
    </row>
    <row r="992" spans="2:2" ht="15.75" customHeight="1" x14ac:dyDescent="0.2">
      <c r="B992" s="16"/>
    </row>
    <row r="993" spans="2:2" ht="15.75" customHeight="1" x14ac:dyDescent="0.2">
      <c r="B993" s="16"/>
    </row>
    <row r="994" spans="2:2" ht="15.75" customHeight="1" x14ac:dyDescent="0.2">
      <c r="B994" s="16"/>
    </row>
    <row r="995" spans="2:2" ht="15.75" customHeight="1" x14ac:dyDescent="0.2">
      <c r="B995" s="16"/>
    </row>
    <row r="996" spans="2:2" ht="15.75" customHeight="1" x14ac:dyDescent="0.2">
      <c r="B996" s="16"/>
    </row>
    <row r="997" spans="2:2" ht="15.75" customHeight="1" x14ac:dyDescent="0.2">
      <c r="B997" s="16"/>
    </row>
    <row r="998" spans="2:2" ht="15.75" customHeight="1" x14ac:dyDescent="0.2">
      <c r="B998" s="16"/>
    </row>
    <row r="999" spans="2:2" ht="15.75" customHeight="1" x14ac:dyDescent="0.2">
      <c r="B999" s="16"/>
    </row>
    <row r="1000" spans="2:2" ht="15.75" customHeight="1" x14ac:dyDescent="0.2">
      <c r="B1000" s="16"/>
    </row>
    <row r="1001" spans="2:2" ht="15.75" customHeight="1" x14ac:dyDescent="0.2">
      <c r="B1001" s="16"/>
    </row>
  </sheetData>
  <mergeCells count="1">
    <mergeCell ref="A3:B3"/>
  </mergeCells>
  <pageMargins left="0.7" right="0.7" top="0.75" bottom="0.75"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inomialSheet">
                <anchor moveWithCells="1" sizeWithCells="1">
                  <from>
                    <xdr:col>2</xdr:col>
                    <xdr:colOff>520700</xdr:colOff>
                    <xdr:row>2</xdr:row>
                    <xdr:rowOff>165100</xdr:rowOff>
                  </from>
                  <to>
                    <xdr:col>3</xdr:col>
                    <xdr:colOff>1384300</xdr:colOff>
                    <xdr:row>5</xdr:row>
                    <xdr:rowOff>25400</xdr:rowOff>
                  </to>
                </anchor>
              </controlPr>
            </control>
          </mc:Choice>
        </mc:AlternateContent>
        <mc:AlternateContent xmlns:mc="http://schemas.openxmlformats.org/markup-compatibility/2006">
          <mc:Choice Requires="x14">
            <control shapeId="2050" r:id="rId5" name="Button 2">
              <controlPr defaultSize="0" print="0" autoFill="0" autoPict="0" macro="[0]!BlackScholes">
                <anchor moveWithCells="1" sizeWithCells="1">
                  <from>
                    <xdr:col>2</xdr:col>
                    <xdr:colOff>495300</xdr:colOff>
                    <xdr:row>6</xdr:row>
                    <xdr:rowOff>114300</xdr:rowOff>
                  </from>
                  <to>
                    <xdr:col>3</xdr:col>
                    <xdr:colOff>1371600</xdr:colOff>
                    <xdr:row>8</xdr:row>
                    <xdr:rowOff>139700</xdr:rowOff>
                  </to>
                </anchor>
              </controlPr>
            </control>
          </mc:Choice>
        </mc:AlternateContent>
        <mc:AlternateContent xmlns:mc="http://schemas.openxmlformats.org/markup-compatibility/2006">
          <mc:Choice Requires="x14">
            <control shapeId="2051" r:id="rId6" name="Button 3">
              <controlPr defaultSize="0" print="0" autoFill="0" autoPict="0" macro="[0]!ReadMeSheet">
                <anchor moveWithCells="1" sizeWithCells="1">
                  <from>
                    <xdr:col>2</xdr:col>
                    <xdr:colOff>508000</xdr:colOff>
                    <xdr:row>10</xdr:row>
                    <xdr:rowOff>88900</xdr:rowOff>
                  </from>
                  <to>
                    <xdr:col>3</xdr:col>
                    <xdr:colOff>1346200</xdr:colOff>
                    <xdr:row>12</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xr:uid="{00000000-0002-0000-0100-000000000000}">
          <x14:formula1>
            <xm:f>Aux!$A$3:$A$4</xm:f>
          </x14:formula1>
          <xm:sqref>B4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N1000"/>
  <sheetViews>
    <sheetView showGridLines="0" zoomScale="75" workbookViewId="0">
      <selection activeCell="K15" sqref="K15"/>
    </sheetView>
  </sheetViews>
  <sheetFormatPr baseColWidth="10" defaultColWidth="12.6640625" defaultRowHeight="15" customHeight="1" x14ac:dyDescent="0.15"/>
  <cols>
    <col min="1" max="1" width="18.5" customWidth="1"/>
    <col min="2" max="2" width="15.6640625" customWidth="1"/>
    <col min="3" max="3" width="11.1640625" customWidth="1"/>
    <col min="4" max="4" width="19" customWidth="1"/>
    <col min="5" max="5" width="18.6640625" customWidth="1"/>
    <col min="6" max="6" width="11.1640625" customWidth="1"/>
    <col min="7" max="7" width="13.1640625" customWidth="1"/>
    <col min="8" max="9" width="11.1640625" customWidth="1"/>
    <col min="10" max="10" width="13" customWidth="1"/>
    <col min="11" max="11" width="11.1640625" customWidth="1"/>
    <col min="12" max="12" width="12" customWidth="1"/>
    <col min="13" max="13" width="17.5" customWidth="1"/>
    <col min="14" max="14" width="16.33203125" customWidth="1"/>
    <col min="15" max="40" width="11.1640625" customWidth="1"/>
  </cols>
  <sheetData>
    <row r="1" spans="1:40" ht="18.75" customHeight="1" x14ac:dyDescent="0.1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row>
    <row r="2" spans="1:40" ht="39.75" customHeight="1" x14ac:dyDescent="0.6">
      <c r="A2" s="6"/>
      <c r="B2" s="6"/>
      <c r="C2" s="6"/>
      <c r="D2" s="17" t="s">
        <v>21</v>
      </c>
      <c r="E2" s="17"/>
      <c r="F2" s="6"/>
      <c r="G2" s="18"/>
      <c r="H2" s="6"/>
      <c r="I2" s="6"/>
      <c r="J2" s="6"/>
      <c r="K2" s="6"/>
      <c r="L2" s="6"/>
      <c r="M2" s="6"/>
      <c r="N2" s="6"/>
      <c r="O2" s="89"/>
      <c r="P2" s="6"/>
      <c r="Q2" s="6"/>
      <c r="R2" s="6"/>
      <c r="S2" s="6"/>
      <c r="T2" s="6"/>
      <c r="U2" s="6"/>
      <c r="V2" s="6"/>
      <c r="W2" s="6"/>
      <c r="X2" s="6"/>
      <c r="Y2" s="6"/>
      <c r="Z2" s="6"/>
      <c r="AA2" s="6"/>
      <c r="AB2" s="6"/>
      <c r="AC2" s="6"/>
      <c r="AD2" s="6"/>
      <c r="AE2" s="6"/>
      <c r="AF2" s="6"/>
      <c r="AG2" s="6"/>
      <c r="AH2" s="6"/>
      <c r="AI2" s="6"/>
      <c r="AJ2" s="6"/>
      <c r="AK2" s="6"/>
      <c r="AL2" s="6"/>
      <c r="AM2" s="6"/>
      <c r="AN2" s="6"/>
    </row>
    <row r="3" spans="1:40" ht="18.75" customHeight="1" x14ac:dyDescent="0.15">
      <c r="A3" s="6"/>
      <c r="B3" s="59"/>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row>
    <row r="4" spans="1:40" ht="18.75" customHeight="1" thickBot="1" x14ac:dyDescent="0.2">
      <c r="A4" s="6"/>
      <c r="B4" s="59"/>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row>
    <row r="5" spans="1:40" ht="18.75" customHeight="1" thickBot="1" x14ac:dyDescent="0.25">
      <c r="A5" s="6"/>
      <c r="B5" s="19">
        <v>102.16</v>
      </c>
      <c r="C5" s="6"/>
      <c r="D5" s="6"/>
      <c r="E5" s="19" t="s">
        <v>22</v>
      </c>
      <c r="F5" s="6"/>
      <c r="G5" s="20" t="s">
        <v>23</v>
      </c>
      <c r="H5" s="21">
        <f>IF(Inputs!bs_option_type="Call",BinomialModel!A53,BinomialModel!A80)</f>
        <v>20.349815227292588</v>
      </c>
      <c r="I5" s="6"/>
      <c r="J5" s="20" t="s">
        <v>59</v>
      </c>
      <c r="K5" s="91">
        <v>1.2574343016794769</v>
      </c>
      <c r="L5" s="6"/>
      <c r="M5" s="6"/>
      <c r="N5" s="6"/>
      <c r="O5" s="6"/>
      <c r="P5" s="6"/>
      <c r="Q5" s="6"/>
      <c r="R5" s="6"/>
      <c r="S5" s="6"/>
      <c r="T5" s="6"/>
      <c r="U5" s="6"/>
      <c r="V5" s="6"/>
      <c r="W5" s="6"/>
      <c r="X5" s="6"/>
      <c r="Y5" s="6"/>
      <c r="Z5" s="6"/>
      <c r="AA5" s="6"/>
      <c r="AB5" s="6"/>
      <c r="AC5" s="6"/>
      <c r="AD5" s="6"/>
      <c r="AE5" s="6"/>
      <c r="AF5" s="6"/>
      <c r="AG5" s="6"/>
      <c r="AH5" s="6"/>
      <c r="AI5" s="6"/>
      <c r="AJ5" s="6"/>
      <c r="AK5" s="6"/>
      <c r="AL5" s="6"/>
      <c r="AM5" s="6"/>
      <c r="AN5" s="6"/>
    </row>
    <row r="6" spans="1:40" ht="18.75" customHeight="1" x14ac:dyDescent="0.2">
      <c r="A6" s="22" t="s">
        <v>24</v>
      </c>
      <c r="B6" s="23">
        <f>EXP(Inputs!Sigma*SQRT(Inputs!Time/12))</f>
        <v>1.1108904625150753</v>
      </c>
      <c r="C6" s="6"/>
      <c r="D6" s="22" t="s">
        <v>25</v>
      </c>
      <c r="E6" s="23">
        <f>((1+Rate)^(1/(Time*12))-1)</f>
        <v>1.2141918513561833E-3</v>
      </c>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row>
    <row r="7" spans="1:40" ht="18.75" customHeight="1" x14ac:dyDescent="0.2">
      <c r="A7" s="22" t="s">
        <v>26</v>
      </c>
      <c r="B7" s="87">
        <f>EXP(-Inputs!Sigma*SQRT(Inputs!Time/12))</f>
        <v>0.90017876086178894</v>
      </c>
      <c r="C7" s="6"/>
      <c r="D7" s="22" t="s">
        <v>27</v>
      </c>
      <c r="E7" s="23">
        <f>(EXP(Rate*(((Time*12)/12)/n_periods))-B7)/(B6-B7)</f>
        <v>0.48055084608019899</v>
      </c>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row>
    <row r="8" spans="1:40" ht="18.75" customHeight="1" x14ac:dyDescent="0.2">
      <c r="A8" s="86" t="s">
        <v>53</v>
      </c>
      <c r="B8" s="88" t="b">
        <f>(B6*B7)=1</f>
        <v>1</v>
      </c>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row>
    <row r="9" spans="1:40" ht="18.75" customHeight="1" x14ac:dyDescent="0.15">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c r="AJ9" s="6"/>
      <c r="AK9" s="6"/>
      <c r="AL9" s="6"/>
      <c r="AM9" s="6"/>
      <c r="AN9" s="6"/>
    </row>
    <row r="10" spans="1:40" ht="18.75" customHeight="1" x14ac:dyDescent="0.1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row>
    <row r="11" spans="1:40" ht="18.75" customHeight="1" thickBot="1" x14ac:dyDescent="0.25">
      <c r="A11" s="24">
        <v>0</v>
      </c>
      <c r="B11" s="24">
        <v>1</v>
      </c>
      <c r="C11" s="24">
        <v>2</v>
      </c>
      <c r="D11" s="24">
        <v>3</v>
      </c>
      <c r="E11" s="24">
        <v>4</v>
      </c>
      <c r="F11" s="24">
        <v>5</v>
      </c>
      <c r="G11" s="24">
        <v>6</v>
      </c>
      <c r="H11" s="24">
        <v>7</v>
      </c>
      <c r="I11" s="24">
        <v>8</v>
      </c>
      <c r="J11" s="24">
        <v>9</v>
      </c>
      <c r="K11" s="24">
        <v>10</v>
      </c>
      <c r="L11" s="24">
        <v>11</v>
      </c>
      <c r="M11" s="24">
        <v>12</v>
      </c>
      <c r="N11" s="6"/>
      <c r="O11" s="6"/>
      <c r="P11" s="6"/>
      <c r="Q11" s="6"/>
      <c r="R11" s="6"/>
      <c r="S11" s="6"/>
      <c r="T11" s="6"/>
      <c r="U11" s="6"/>
      <c r="V11" s="6"/>
      <c r="W11" s="6"/>
      <c r="X11" s="6"/>
      <c r="Y11" s="6"/>
      <c r="Z11" s="6"/>
      <c r="AA11" s="6"/>
      <c r="AB11" s="6"/>
      <c r="AC11" s="6"/>
      <c r="AD11" s="6"/>
      <c r="AE11" s="6"/>
      <c r="AF11" s="6"/>
      <c r="AG11" s="6"/>
      <c r="AH11" s="6"/>
      <c r="AI11" s="6"/>
      <c r="AJ11" s="6"/>
      <c r="AK11" s="6"/>
      <c r="AL11" s="6"/>
      <c r="AM11" s="6"/>
    </row>
    <row r="12" spans="1:40" ht="20" customHeight="1" thickBot="1" x14ac:dyDescent="0.2">
      <c r="A12" s="83" t="s">
        <v>28</v>
      </c>
      <c r="B12" s="84"/>
      <c r="C12" s="84"/>
      <c r="D12" s="84"/>
      <c r="E12" s="84"/>
      <c r="F12" s="84"/>
      <c r="G12" s="84"/>
      <c r="H12" s="84"/>
      <c r="I12" s="84"/>
      <c r="J12" s="84"/>
      <c r="K12" s="84"/>
      <c r="L12" s="84"/>
      <c r="M12" s="85"/>
      <c r="N12" s="6"/>
      <c r="O12" s="6"/>
      <c r="P12" s="6"/>
      <c r="Q12" s="6"/>
      <c r="R12" s="6"/>
      <c r="S12" s="6"/>
      <c r="T12" s="6"/>
      <c r="U12" s="6"/>
      <c r="V12" s="6"/>
      <c r="W12" s="6"/>
      <c r="X12" s="6"/>
      <c r="Y12" s="6"/>
      <c r="Z12" s="6"/>
      <c r="AA12" s="6"/>
      <c r="AB12" s="6"/>
      <c r="AC12" s="6"/>
      <c r="AD12" s="6"/>
      <c r="AE12" s="6"/>
      <c r="AF12" s="6"/>
      <c r="AG12" s="6"/>
      <c r="AH12" s="6"/>
      <c r="AI12" s="6"/>
      <c r="AJ12" s="6"/>
      <c r="AK12" s="6"/>
      <c r="AL12" s="6"/>
      <c r="AM12" s="6"/>
    </row>
    <row r="13" spans="1:40" ht="18" customHeight="1" x14ac:dyDescent="0.2">
      <c r="A13" s="26"/>
      <c r="B13" s="26"/>
      <c r="C13" s="26"/>
      <c r="D13" s="26"/>
      <c r="E13" s="26"/>
      <c r="F13" s="26"/>
      <c r="G13" s="26"/>
      <c r="H13" s="26"/>
      <c r="I13" s="26"/>
      <c r="J13" s="26"/>
      <c r="K13" s="26"/>
      <c r="L13" s="26"/>
      <c r="M13" s="27">
        <f>L14*$B$6</f>
        <v>380.48332138951486</v>
      </c>
      <c r="N13" s="6"/>
      <c r="O13" s="6"/>
      <c r="P13" s="6"/>
      <c r="Q13" s="6"/>
      <c r="R13" s="6"/>
      <c r="S13" s="6"/>
      <c r="T13" s="6"/>
      <c r="U13" s="6"/>
      <c r="V13" s="6"/>
      <c r="W13" s="6"/>
      <c r="X13" s="6"/>
      <c r="Y13" s="6"/>
      <c r="Z13" s="6"/>
      <c r="AA13" s="6"/>
      <c r="AB13" s="6"/>
      <c r="AC13" s="6"/>
      <c r="AD13" s="6"/>
      <c r="AE13" s="6"/>
      <c r="AF13" s="6"/>
      <c r="AG13" s="6"/>
      <c r="AH13" s="6"/>
      <c r="AI13" s="6"/>
      <c r="AJ13" s="6"/>
      <c r="AK13" s="6"/>
      <c r="AL13" s="6"/>
      <c r="AM13" s="6"/>
    </row>
    <row r="14" spans="1:40" ht="18.75" customHeight="1" x14ac:dyDescent="0.2">
      <c r="A14" s="26"/>
      <c r="B14" s="26"/>
      <c r="C14" s="26"/>
      <c r="D14" s="26"/>
      <c r="E14" s="26"/>
      <c r="F14" s="26"/>
      <c r="G14" s="26"/>
      <c r="H14" s="26"/>
      <c r="I14" s="26"/>
      <c r="J14" s="26"/>
      <c r="K14" s="26"/>
      <c r="L14" s="28">
        <f>K15*$B$6</f>
        <v>342.50300477699125</v>
      </c>
      <c r="M14" s="29"/>
      <c r="N14" s="6"/>
      <c r="O14" s="6"/>
      <c r="P14" s="6"/>
      <c r="Q14" s="6"/>
      <c r="R14" s="6"/>
      <c r="S14" s="6"/>
      <c r="T14" s="6"/>
      <c r="U14" s="6"/>
      <c r="V14" s="6"/>
      <c r="W14" s="6"/>
      <c r="X14" s="6"/>
      <c r="Y14" s="6"/>
      <c r="Z14" s="6"/>
      <c r="AA14" s="6"/>
      <c r="AB14" s="6"/>
      <c r="AC14" s="6"/>
      <c r="AD14" s="6"/>
      <c r="AE14" s="6"/>
      <c r="AF14" s="6"/>
      <c r="AG14" s="6"/>
      <c r="AH14" s="6"/>
      <c r="AI14" s="6"/>
      <c r="AJ14" s="6"/>
      <c r="AK14" s="6"/>
      <c r="AL14" s="6"/>
      <c r="AM14" s="6"/>
    </row>
    <row r="15" spans="1:40" ht="18.75" customHeight="1" x14ac:dyDescent="0.2">
      <c r="A15" s="26"/>
      <c r="B15" s="26"/>
      <c r="C15" s="26"/>
      <c r="D15" s="26"/>
      <c r="E15" s="26"/>
      <c r="F15" s="26"/>
      <c r="G15" s="26"/>
      <c r="H15" s="26"/>
      <c r="I15" s="26"/>
      <c r="J15" s="26"/>
      <c r="K15" s="28">
        <f>J16*$B$6</f>
        <v>308.31393043159136</v>
      </c>
      <c r="L15" s="26"/>
      <c r="M15" s="27">
        <f>L14*$B$7</f>
        <v>308.31393043159136</v>
      </c>
      <c r="N15" s="6"/>
      <c r="O15" s="6"/>
      <c r="P15" s="6"/>
      <c r="Q15" s="6"/>
      <c r="R15" s="6"/>
      <c r="S15" s="6"/>
      <c r="T15" s="6"/>
      <c r="U15" s="6"/>
      <c r="V15" s="6"/>
      <c r="W15" s="6"/>
      <c r="X15" s="6"/>
      <c r="Y15" s="6"/>
      <c r="Z15" s="6"/>
      <c r="AA15" s="6"/>
      <c r="AB15" s="6"/>
      <c r="AC15" s="6"/>
      <c r="AD15" s="6"/>
      <c r="AE15" s="6"/>
      <c r="AF15" s="6"/>
      <c r="AG15" s="6"/>
      <c r="AH15" s="6"/>
      <c r="AI15" s="6"/>
      <c r="AJ15" s="6"/>
      <c r="AK15" s="6"/>
      <c r="AL15" s="6"/>
      <c r="AM15" s="6"/>
    </row>
    <row r="16" spans="1:40" ht="18.75" customHeight="1" x14ac:dyDescent="0.3">
      <c r="A16" s="26"/>
      <c r="B16" s="30"/>
      <c r="C16" s="26"/>
      <c r="D16" s="26"/>
      <c r="E16" s="26"/>
      <c r="F16" s="26"/>
      <c r="G16" s="26"/>
      <c r="H16" s="26"/>
      <c r="I16" s="26"/>
      <c r="J16" s="28">
        <f>I17*$B$6</f>
        <v>277.53765185233772</v>
      </c>
      <c r="K16" s="26"/>
      <c r="L16" s="28">
        <f>K15*$B$7</f>
        <v>277.53765185233772</v>
      </c>
      <c r="M16" s="29"/>
      <c r="N16" s="6"/>
      <c r="O16" s="6"/>
      <c r="P16" s="6"/>
      <c r="Q16" s="6"/>
      <c r="R16" s="6"/>
      <c r="S16" s="6"/>
      <c r="T16" s="6"/>
      <c r="U16" s="6"/>
      <c r="V16" s="6"/>
      <c r="W16" s="6"/>
      <c r="X16" s="6"/>
      <c r="Y16" s="6"/>
      <c r="Z16" s="6"/>
      <c r="AA16" s="6"/>
      <c r="AB16" s="6"/>
      <c r="AC16" s="6"/>
      <c r="AD16" s="6"/>
      <c r="AE16" s="6"/>
      <c r="AF16" s="6"/>
      <c r="AG16" s="6"/>
      <c r="AH16" s="6"/>
      <c r="AI16" s="6"/>
      <c r="AJ16" s="6"/>
      <c r="AK16" s="6"/>
      <c r="AL16" s="6"/>
      <c r="AM16" s="6"/>
    </row>
    <row r="17" spans="1:39" ht="18.75" customHeight="1" x14ac:dyDescent="0.2">
      <c r="A17" s="26"/>
      <c r="B17" s="26"/>
      <c r="C17" s="26"/>
      <c r="D17" s="26"/>
      <c r="E17" s="26"/>
      <c r="F17" s="26"/>
      <c r="G17" s="26"/>
      <c r="H17" s="26"/>
      <c r="I17" s="28">
        <f>H18*$B$6</f>
        <v>249.83349953692792</v>
      </c>
      <c r="J17" s="26"/>
      <c r="K17" s="28">
        <f>J16*$B$7</f>
        <v>249.83349953692795</v>
      </c>
      <c r="L17" s="26"/>
      <c r="M17" s="27">
        <f>L16*$B$7</f>
        <v>249.83349953692795</v>
      </c>
      <c r="N17" s="6"/>
      <c r="O17" s="6"/>
      <c r="P17" s="6"/>
      <c r="Q17" s="6"/>
      <c r="R17" s="6"/>
      <c r="S17" s="6"/>
      <c r="T17" s="6"/>
      <c r="U17" s="6"/>
      <c r="V17" s="6"/>
      <c r="W17" s="6"/>
      <c r="X17" s="6"/>
      <c r="Y17" s="6"/>
      <c r="Z17" s="6"/>
      <c r="AA17" s="6"/>
      <c r="AB17" s="6"/>
      <c r="AC17" s="6"/>
      <c r="AD17" s="6"/>
      <c r="AE17" s="6"/>
      <c r="AF17" s="6"/>
      <c r="AG17" s="6"/>
      <c r="AH17" s="6"/>
      <c r="AI17" s="6"/>
      <c r="AJ17" s="6"/>
      <c r="AK17" s="6"/>
      <c r="AL17" s="6"/>
      <c r="AM17" s="6"/>
    </row>
    <row r="18" spans="1:39" ht="18.75" customHeight="1" x14ac:dyDescent="0.3">
      <c r="A18" s="26"/>
      <c r="B18" s="30"/>
      <c r="C18" s="26"/>
      <c r="D18" s="26"/>
      <c r="E18" s="26"/>
      <c r="F18" s="26"/>
      <c r="G18" s="26"/>
      <c r="H18" s="28">
        <f>G19*$B$6</f>
        <v>224.89481003491608</v>
      </c>
      <c r="I18" s="26"/>
      <c r="J18" s="28">
        <f>I17*$B$7</f>
        <v>224.89481003491611</v>
      </c>
      <c r="K18" s="26"/>
      <c r="L18" s="28">
        <f>K17*$B$7</f>
        <v>224.89481003491611</v>
      </c>
      <c r="M18" s="29"/>
      <c r="N18" s="6"/>
      <c r="O18" s="6"/>
      <c r="P18" s="60"/>
      <c r="Q18" s="6"/>
      <c r="R18" s="6"/>
      <c r="S18" s="6"/>
      <c r="T18" s="6"/>
      <c r="U18" s="6"/>
      <c r="V18" s="6"/>
      <c r="W18" s="6"/>
      <c r="X18" s="6"/>
      <c r="Y18" s="6"/>
      <c r="Z18" s="6"/>
      <c r="AA18" s="6"/>
      <c r="AB18" s="6"/>
      <c r="AC18" s="6"/>
      <c r="AD18" s="6"/>
      <c r="AE18" s="6"/>
      <c r="AF18" s="6"/>
      <c r="AG18" s="6"/>
      <c r="AH18" s="6"/>
      <c r="AI18" s="6"/>
      <c r="AJ18" s="6"/>
      <c r="AK18" s="6"/>
      <c r="AL18" s="6"/>
      <c r="AM18" s="6"/>
    </row>
    <row r="19" spans="1:39" ht="18.75" customHeight="1" x14ac:dyDescent="0.2">
      <c r="A19" s="26"/>
      <c r="B19" s="26"/>
      <c r="C19" s="26"/>
      <c r="D19" s="26"/>
      <c r="E19" s="26"/>
      <c r="F19" s="26"/>
      <c r="G19" s="28">
        <f>F20*$B$6*(1-dividend_rate)</f>
        <v>202.44553142147817</v>
      </c>
      <c r="H19" s="26"/>
      <c r="I19" s="28">
        <f>H18*$B$7</f>
        <v>202.44553142147817</v>
      </c>
      <c r="J19" s="26"/>
      <c r="K19" s="28">
        <f>J18*$B$7</f>
        <v>202.44553142147819</v>
      </c>
      <c r="L19" s="26"/>
      <c r="M19" s="27">
        <f>L18*$B$7</f>
        <v>202.44553142147819</v>
      </c>
      <c r="N19" s="6"/>
      <c r="O19" s="90"/>
      <c r="P19" s="6"/>
      <c r="Q19" s="6"/>
      <c r="R19" s="6"/>
      <c r="S19" s="6"/>
      <c r="T19" s="6"/>
      <c r="U19" s="6"/>
      <c r="V19" s="6"/>
      <c r="W19" s="6"/>
      <c r="X19" s="6"/>
      <c r="Y19" s="6"/>
      <c r="Z19" s="6"/>
      <c r="AA19" s="6"/>
      <c r="AB19" s="6"/>
      <c r="AC19" s="6"/>
      <c r="AD19" s="6"/>
      <c r="AE19" s="6"/>
      <c r="AF19" s="6"/>
      <c r="AG19" s="6"/>
      <c r="AH19" s="6"/>
      <c r="AI19" s="6"/>
      <c r="AJ19" s="6"/>
      <c r="AK19" s="6"/>
      <c r="AL19" s="6"/>
      <c r="AM19" s="6"/>
    </row>
    <row r="20" spans="1:39" ht="18.75" customHeight="1" x14ac:dyDescent="0.3">
      <c r="A20" s="26"/>
      <c r="B20" s="30"/>
      <c r="C20" s="26"/>
      <c r="D20" s="26"/>
      <c r="E20" s="26"/>
      <c r="F20" s="28">
        <f>E21*$B$6</f>
        <v>185.72887038013917</v>
      </c>
      <c r="G20" s="26"/>
      <c r="H20" s="28">
        <f>G19*$B$7</f>
        <v>182.23716761699256</v>
      </c>
      <c r="I20" s="26"/>
      <c r="J20" s="28">
        <f>I19*$B$7</f>
        <v>182.23716761699256</v>
      </c>
      <c r="K20" s="26"/>
      <c r="L20" s="28">
        <f>K19*$B$7</f>
        <v>182.23716761699259</v>
      </c>
      <c r="M20" s="29"/>
      <c r="N20" s="6"/>
      <c r="O20" s="6"/>
      <c r="P20" s="6"/>
      <c r="Q20" s="6"/>
      <c r="R20" s="6"/>
      <c r="S20" s="6"/>
      <c r="T20" s="6"/>
      <c r="U20" s="6"/>
      <c r="V20" s="6"/>
      <c r="W20" s="6"/>
      <c r="X20" s="6"/>
      <c r="Y20" s="6"/>
      <c r="Z20" s="6"/>
      <c r="AA20" s="6"/>
      <c r="AB20" s="6"/>
      <c r="AC20" s="6"/>
      <c r="AD20" s="6"/>
      <c r="AE20" s="6"/>
      <c r="AF20" s="6"/>
      <c r="AG20" s="6"/>
      <c r="AH20" s="6"/>
      <c r="AI20" s="6"/>
      <c r="AJ20" s="6"/>
      <c r="AK20" s="6"/>
      <c r="AL20" s="6"/>
      <c r="AM20" s="6"/>
    </row>
    <row r="21" spans="1:39" ht="18.75" customHeight="1" x14ac:dyDescent="0.2">
      <c r="A21" s="26"/>
      <c r="B21" s="26"/>
      <c r="C21" s="26"/>
      <c r="D21" s="26"/>
      <c r="E21" s="28">
        <f>D22*$B$6</f>
        <v>167.18918439505347</v>
      </c>
      <c r="F21" s="26"/>
      <c r="G21" s="28">
        <f>F20*$B$7*(1-dividend_rate)</f>
        <v>164.04602772842648</v>
      </c>
      <c r="H21" s="26"/>
      <c r="I21" s="28">
        <f>H20*$B$7</f>
        <v>164.04602772842651</v>
      </c>
      <c r="J21" s="26"/>
      <c r="K21" s="28">
        <f>J20*$B$7</f>
        <v>164.04602772842651</v>
      </c>
      <c r="L21" s="26"/>
      <c r="M21" s="27">
        <f>L20*$B$7</f>
        <v>164.04602772842654</v>
      </c>
      <c r="N21" s="6"/>
      <c r="O21" s="6"/>
      <c r="P21" s="6"/>
      <c r="Q21" s="6"/>
      <c r="R21" s="6"/>
      <c r="S21" s="6"/>
      <c r="T21" s="6"/>
      <c r="U21" s="6"/>
      <c r="V21" s="6"/>
      <c r="W21" s="6"/>
      <c r="X21" s="6"/>
      <c r="Y21" s="6"/>
      <c r="Z21" s="6"/>
      <c r="AA21" s="6"/>
      <c r="AB21" s="6"/>
      <c r="AC21" s="6"/>
      <c r="AD21" s="6"/>
      <c r="AE21" s="6"/>
      <c r="AF21" s="6"/>
      <c r="AG21" s="6"/>
      <c r="AH21" s="6"/>
      <c r="AI21" s="6"/>
      <c r="AJ21" s="6"/>
      <c r="AK21" s="6"/>
      <c r="AL21" s="6"/>
      <c r="AM21" s="6"/>
    </row>
    <row r="22" spans="1:39" ht="18.75" customHeight="1" x14ac:dyDescent="0.2">
      <c r="A22" s="26"/>
      <c r="B22" s="26"/>
      <c r="C22" s="26"/>
      <c r="D22" s="28">
        <f>C23*$B$6</f>
        <v>150.50015283823237</v>
      </c>
      <c r="E22" s="26"/>
      <c r="F22" s="28">
        <f>E21*$B$7</f>
        <v>150.50015283823237</v>
      </c>
      <c r="G22" s="26"/>
      <c r="H22" s="28">
        <f>G21*$B$7</f>
        <v>147.67074996487361</v>
      </c>
      <c r="I22" s="26"/>
      <c r="J22" s="28">
        <f>I21*$B$7</f>
        <v>147.67074996487364</v>
      </c>
      <c r="K22" s="26"/>
      <c r="L22" s="28">
        <f>K21*$B$7</f>
        <v>147.67074996487364</v>
      </c>
      <c r="M22" s="29"/>
      <c r="N22" s="6"/>
      <c r="O22" s="6"/>
      <c r="P22" s="6"/>
      <c r="Q22" s="6"/>
      <c r="R22" s="6"/>
      <c r="S22" s="6"/>
      <c r="T22" s="6"/>
      <c r="U22" s="6"/>
      <c r="V22" s="6"/>
      <c r="W22" s="6"/>
      <c r="X22" s="6"/>
      <c r="Y22" s="6"/>
      <c r="Z22" s="6"/>
      <c r="AA22" s="6"/>
      <c r="AB22" s="6"/>
      <c r="AC22" s="6"/>
      <c r="AD22" s="6"/>
      <c r="AE22" s="6"/>
      <c r="AF22" s="6"/>
      <c r="AG22" s="6"/>
      <c r="AH22" s="6"/>
      <c r="AI22" s="6"/>
      <c r="AJ22" s="6"/>
      <c r="AK22" s="6"/>
      <c r="AL22" s="6"/>
      <c r="AM22" s="6"/>
    </row>
    <row r="23" spans="1:39" ht="18.75" customHeight="1" x14ac:dyDescent="0.2">
      <c r="A23" s="26"/>
      <c r="B23" s="26"/>
      <c r="C23" s="28">
        <f>B24*$B$6</f>
        <v>135.47704109142984</v>
      </c>
      <c r="D23" s="26"/>
      <c r="E23" s="28">
        <f>D22*$B$7</f>
        <v>135.47704109142987</v>
      </c>
      <c r="F23" s="26"/>
      <c r="G23" s="28">
        <f>F22*$B$7*(1-dividend_rate)</f>
        <v>132.93007271891099</v>
      </c>
      <c r="H23" s="26"/>
      <c r="I23" s="28">
        <f>H22*$B$7</f>
        <v>132.93007271891099</v>
      </c>
      <c r="J23" s="26"/>
      <c r="K23" s="28">
        <f>J22*$B$7</f>
        <v>132.93007271891102</v>
      </c>
      <c r="L23" s="26"/>
      <c r="M23" s="27">
        <f>L22*$B$7</f>
        <v>132.93007271891102</v>
      </c>
      <c r="N23" s="6"/>
      <c r="O23" s="6"/>
      <c r="P23" s="90"/>
      <c r="Q23" s="6"/>
      <c r="R23" s="6"/>
      <c r="S23" s="6"/>
      <c r="T23" s="6"/>
      <c r="U23" s="6"/>
      <c r="V23" s="6"/>
      <c r="W23" s="6"/>
      <c r="X23" s="6"/>
      <c r="Y23" s="6"/>
      <c r="Z23" s="6"/>
      <c r="AA23" s="6"/>
      <c r="AB23" s="6"/>
      <c r="AC23" s="6"/>
      <c r="AD23" s="6"/>
      <c r="AE23" s="6"/>
      <c r="AF23" s="6"/>
      <c r="AG23" s="6"/>
      <c r="AH23" s="6"/>
      <c r="AI23" s="6"/>
      <c r="AJ23" s="6"/>
      <c r="AK23" s="6"/>
      <c r="AL23" s="6"/>
      <c r="AM23" s="6"/>
    </row>
    <row r="24" spans="1:39" ht="18.75" customHeight="1" x14ac:dyDescent="0.2">
      <c r="A24" s="31" t="s">
        <v>29</v>
      </c>
      <c r="B24" s="28">
        <f>A25*$B$6</f>
        <v>121.95355497490496</v>
      </c>
      <c r="C24" s="26"/>
      <c r="D24" s="28">
        <f>C23*$B$7</f>
        <v>121.95355497490497</v>
      </c>
      <c r="E24" s="26"/>
      <c r="F24" s="28">
        <f>E23*$B$7</f>
        <v>121.953554974905</v>
      </c>
      <c r="G24" s="26"/>
      <c r="H24" s="28">
        <f>G23*$B$7</f>
        <v>119.6608281413768</v>
      </c>
      <c r="I24" s="26"/>
      <c r="J24" s="28">
        <f>I23*$B$7</f>
        <v>119.6608281413768</v>
      </c>
      <c r="K24" s="26"/>
      <c r="L24" s="28">
        <f>K23*$B$7</f>
        <v>119.66082814137681</v>
      </c>
      <c r="M24" s="29"/>
      <c r="N24" s="6"/>
      <c r="O24" s="6"/>
      <c r="P24" s="6"/>
      <c r="Q24" s="6"/>
      <c r="R24" s="6"/>
      <c r="S24" s="6"/>
      <c r="T24" s="6"/>
      <c r="U24" s="6"/>
      <c r="V24" s="6"/>
      <c r="W24" s="6"/>
      <c r="X24" s="6"/>
      <c r="Y24" s="6"/>
      <c r="Z24" s="6"/>
      <c r="AA24" s="6"/>
      <c r="AB24" s="6"/>
      <c r="AC24" s="6"/>
      <c r="AD24" s="6"/>
      <c r="AE24" s="6"/>
      <c r="AF24" s="6"/>
      <c r="AG24" s="6"/>
      <c r="AH24" s="6"/>
      <c r="AI24" s="6"/>
      <c r="AJ24" s="6"/>
      <c r="AK24" s="6"/>
      <c r="AL24" s="6"/>
      <c r="AM24" s="6"/>
    </row>
    <row r="25" spans="1:39" ht="18.75" customHeight="1" x14ac:dyDescent="0.2">
      <c r="A25" s="28">
        <f>Inputs!Stock</f>
        <v>109.78</v>
      </c>
      <c r="B25" s="26"/>
      <c r="C25" s="28">
        <f>B24*$B$7</f>
        <v>109.78</v>
      </c>
      <c r="D25" s="26"/>
      <c r="E25" s="28">
        <f>D24*$B$7</f>
        <v>109.78000000000002</v>
      </c>
      <c r="F25" s="26"/>
      <c r="G25" s="28">
        <f>F24*$B$7*(1-dividend_rate)</f>
        <v>107.71613600000003</v>
      </c>
      <c r="H25" s="28"/>
      <c r="I25" s="28">
        <f>H24*$B$7</f>
        <v>107.71613600000005</v>
      </c>
      <c r="J25" s="26"/>
      <c r="K25" s="28">
        <f>J24*$B$7</f>
        <v>107.71613600000005</v>
      </c>
      <c r="L25" s="26"/>
      <c r="M25" s="27">
        <f>L24*$B$7</f>
        <v>107.71613600000006</v>
      </c>
      <c r="N25" s="6"/>
      <c r="O25" s="6"/>
      <c r="P25" s="6"/>
      <c r="Q25" s="6"/>
      <c r="R25" s="6"/>
      <c r="S25" s="6"/>
      <c r="T25" s="6"/>
      <c r="U25" s="6"/>
      <c r="V25" s="6"/>
      <c r="W25" s="6"/>
      <c r="X25" s="6"/>
      <c r="Y25" s="6"/>
      <c r="Z25" s="6"/>
      <c r="AA25" s="6"/>
      <c r="AB25" s="6"/>
      <c r="AC25" s="6"/>
      <c r="AD25" s="6"/>
      <c r="AE25" s="6"/>
      <c r="AF25" s="6"/>
      <c r="AG25" s="6"/>
      <c r="AH25" s="6"/>
      <c r="AI25" s="6"/>
      <c r="AJ25" s="6"/>
      <c r="AK25" s="6"/>
      <c r="AL25" s="6"/>
      <c r="AM25" s="6"/>
    </row>
    <row r="26" spans="1:39" ht="18.75" customHeight="1" x14ac:dyDescent="0.2">
      <c r="A26" s="26"/>
      <c r="B26" s="28">
        <f>A25*$B$7</f>
        <v>98.821624367407196</v>
      </c>
      <c r="C26" s="26"/>
      <c r="D26" s="28">
        <f>C25*$B$7</f>
        <v>98.821624367407196</v>
      </c>
      <c r="E26" s="26"/>
      <c r="F26" s="28">
        <f>E25*$B$7</f>
        <v>98.82162436740721</v>
      </c>
      <c r="G26" s="26"/>
      <c r="H26" s="28">
        <f>G25*$B$7</f>
        <v>96.963777829299971</v>
      </c>
      <c r="I26" s="26"/>
      <c r="J26" s="28">
        <f>I25*$B$7</f>
        <v>96.963777829299985</v>
      </c>
      <c r="K26" s="26"/>
      <c r="L26" s="28">
        <f>K25*$B$7</f>
        <v>96.963777829299985</v>
      </c>
      <c r="M26" s="29"/>
      <c r="N26" s="6"/>
      <c r="O26" s="6"/>
      <c r="P26" s="6"/>
      <c r="Q26" s="6"/>
      <c r="R26" s="6"/>
      <c r="S26" s="6"/>
      <c r="T26" s="6"/>
      <c r="U26" s="6"/>
      <c r="V26" s="6"/>
      <c r="W26" s="6"/>
      <c r="X26" s="6"/>
      <c r="Y26" s="6"/>
      <c r="Z26" s="6"/>
      <c r="AA26" s="6"/>
      <c r="AB26" s="6"/>
      <c r="AC26" s="6"/>
      <c r="AD26" s="6"/>
      <c r="AE26" s="6"/>
      <c r="AF26" s="6"/>
      <c r="AG26" s="6"/>
      <c r="AH26" s="6"/>
      <c r="AI26" s="6"/>
      <c r="AJ26" s="6"/>
      <c r="AK26" s="6"/>
      <c r="AL26" s="6"/>
      <c r="AM26" s="6"/>
    </row>
    <row r="27" spans="1:39" ht="18.75" customHeight="1" x14ac:dyDescent="0.2">
      <c r="A27" s="26"/>
      <c r="B27" s="26"/>
      <c r="C27" s="28">
        <f>B26*$B$7</f>
        <v>88.957127369401775</v>
      </c>
      <c r="D27" s="26"/>
      <c r="E27" s="28">
        <f>D26*$B$7</f>
        <v>88.957127369401775</v>
      </c>
      <c r="F27" s="26"/>
      <c r="G27" s="28">
        <f>F26*$B$7*(1-dividend_rate)</f>
        <v>87.284733374857026</v>
      </c>
      <c r="H27" s="26"/>
      <c r="I27" s="28">
        <f>H26*$B$7</f>
        <v>87.284733374857055</v>
      </c>
      <c r="J27" s="26"/>
      <c r="K27" s="28">
        <f>J26*$B$7</f>
        <v>87.284733374857069</v>
      </c>
      <c r="L27" s="26"/>
      <c r="M27" s="27">
        <f>L26*$B$7</f>
        <v>87.284733374857069</v>
      </c>
      <c r="N27" s="6"/>
      <c r="O27" s="6"/>
      <c r="P27" s="6"/>
      <c r="Q27" s="6"/>
      <c r="R27" s="6"/>
      <c r="S27" s="6"/>
      <c r="T27" s="6"/>
      <c r="U27" s="6"/>
      <c r="V27" s="6"/>
      <c r="W27" s="6"/>
      <c r="X27" s="6"/>
      <c r="Y27" s="6"/>
      <c r="Z27" s="6"/>
      <c r="AA27" s="6"/>
      <c r="AB27" s="6"/>
      <c r="AC27" s="6"/>
      <c r="AD27" s="6"/>
      <c r="AE27" s="6"/>
      <c r="AF27" s="6"/>
      <c r="AG27" s="6"/>
      <c r="AH27" s="6"/>
      <c r="AI27" s="6"/>
      <c r="AJ27" s="6"/>
      <c r="AK27" s="6"/>
      <c r="AL27" s="6"/>
      <c r="AM27" s="6"/>
    </row>
    <row r="28" spans="1:39" ht="18.75" customHeight="1" x14ac:dyDescent="0.2">
      <c r="A28" s="26"/>
      <c r="B28" s="26"/>
      <c r="C28" s="26"/>
      <c r="D28" s="28">
        <f>C27*$B$7</f>
        <v>80.077316685212423</v>
      </c>
      <c r="E28" s="26"/>
      <c r="F28" s="28">
        <f>E27*$B$7</f>
        <v>80.077316685212423</v>
      </c>
      <c r="G28" s="26"/>
      <c r="H28" s="28">
        <f>G27*$B$7</f>
        <v>78.571863131530435</v>
      </c>
      <c r="I28" s="26"/>
      <c r="J28" s="28">
        <f>I27*$B$7</f>
        <v>78.571863131530463</v>
      </c>
      <c r="K28" s="26"/>
      <c r="L28" s="28">
        <f>K27*$B$7</f>
        <v>78.571863131530463</v>
      </c>
      <c r="M28" s="29"/>
      <c r="N28" s="6"/>
      <c r="O28" s="6"/>
      <c r="P28" s="6"/>
      <c r="Q28" s="6"/>
      <c r="R28" s="6"/>
      <c r="S28" s="6"/>
      <c r="T28" s="6"/>
      <c r="U28" s="6"/>
      <c r="V28" s="6"/>
      <c r="W28" s="6"/>
      <c r="X28" s="6"/>
      <c r="Y28" s="6"/>
      <c r="Z28" s="6"/>
      <c r="AA28" s="6"/>
      <c r="AB28" s="6"/>
      <c r="AC28" s="6"/>
      <c r="AD28" s="6"/>
      <c r="AE28" s="6"/>
      <c r="AF28" s="6"/>
      <c r="AG28" s="6"/>
      <c r="AH28" s="6"/>
      <c r="AI28" s="6"/>
      <c r="AJ28" s="6"/>
      <c r="AK28" s="6"/>
      <c r="AL28" s="6"/>
      <c r="AM28" s="6"/>
    </row>
    <row r="29" spans="1:39" ht="18.75" customHeight="1" x14ac:dyDescent="0.2">
      <c r="A29" s="26"/>
      <c r="B29" s="26"/>
      <c r="C29" s="26"/>
      <c r="D29" s="26"/>
      <c r="E29" s="28">
        <f>D28*$B$7</f>
        <v>72.083899706831573</v>
      </c>
      <c r="F29" s="26"/>
      <c r="G29" s="28">
        <f>F28*$B$7*(1-dividend_rate)</f>
        <v>70.728722392343144</v>
      </c>
      <c r="H29" s="26"/>
      <c r="I29" s="28">
        <f>H28*$B$7</f>
        <v>70.728722392343144</v>
      </c>
      <c r="J29" s="26"/>
      <c r="K29" s="28">
        <f>J28*$B$7</f>
        <v>70.728722392343172</v>
      </c>
      <c r="L29" s="26"/>
      <c r="M29" s="27">
        <f>L28*$B$7</f>
        <v>70.728722392343172</v>
      </c>
      <c r="N29" s="6"/>
      <c r="O29" s="6"/>
      <c r="P29" s="6"/>
      <c r="Q29" s="6"/>
      <c r="R29" s="6"/>
      <c r="S29" s="6"/>
      <c r="T29" s="6"/>
      <c r="U29" s="6"/>
      <c r="V29" s="6"/>
      <c r="W29" s="6"/>
      <c r="X29" s="6"/>
      <c r="Y29" s="6"/>
      <c r="Z29" s="6"/>
      <c r="AA29" s="6"/>
      <c r="AB29" s="6"/>
      <c r="AC29" s="6"/>
      <c r="AD29" s="6"/>
      <c r="AE29" s="6"/>
      <c r="AF29" s="6"/>
      <c r="AG29" s="6"/>
      <c r="AH29" s="6"/>
      <c r="AI29" s="6"/>
      <c r="AJ29" s="6"/>
      <c r="AK29" s="6"/>
      <c r="AL29" s="6"/>
      <c r="AM29" s="6"/>
    </row>
    <row r="30" spans="1:39" ht="18.75" customHeight="1" x14ac:dyDescent="0.2">
      <c r="A30" s="26"/>
      <c r="B30" s="26"/>
      <c r="C30" s="26"/>
      <c r="D30" s="26"/>
      <c r="E30" s="26"/>
      <c r="F30" s="28">
        <f>E29*$B$7</f>
        <v>64.88839551618112</v>
      </c>
      <c r="G30" s="26"/>
      <c r="H30" s="28">
        <f>G29*$B$7</f>
        <v>63.668493680476914</v>
      </c>
      <c r="I30" s="26"/>
      <c r="J30" s="28">
        <f>I29*$B$7</f>
        <v>63.668493680476914</v>
      </c>
      <c r="K30" s="26"/>
      <c r="L30" s="28">
        <f>K29*$B$7</f>
        <v>63.668493680476942</v>
      </c>
      <c r="M30" s="29"/>
      <c r="N30" s="6"/>
      <c r="O30" s="6"/>
      <c r="P30" s="6"/>
      <c r="Q30" s="6"/>
      <c r="R30" s="6"/>
      <c r="S30" s="6"/>
      <c r="T30" s="6"/>
      <c r="U30" s="6"/>
      <c r="V30" s="6"/>
      <c r="W30" s="6"/>
      <c r="X30" s="6"/>
      <c r="Y30" s="6"/>
      <c r="Z30" s="6"/>
      <c r="AA30" s="6"/>
      <c r="AB30" s="6"/>
      <c r="AC30" s="6"/>
      <c r="AD30" s="6"/>
      <c r="AE30" s="6"/>
      <c r="AF30" s="6"/>
      <c r="AG30" s="6"/>
      <c r="AH30" s="6"/>
      <c r="AI30" s="6"/>
      <c r="AJ30" s="6"/>
      <c r="AK30" s="6"/>
      <c r="AL30" s="6"/>
      <c r="AM30" s="6"/>
    </row>
    <row r="31" spans="1:39" ht="18.75" customHeight="1" x14ac:dyDescent="0.2">
      <c r="A31" s="26"/>
      <c r="B31" s="26"/>
      <c r="C31" s="26"/>
      <c r="D31" s="26"/>
      <c r="E31" s="26"/>
      <c r="F31" s="26"/>
      <c r="G31" s="28">
        <f>F30*$B$7*(1-dividend_rate)</f>
        <v>57.313025747228345</v>
      </c>
      <c r="H31" s="26"/>
      <c r="I31" s="28">
        <f>H30*$B$7</f>
        <v>57.313025747228345</v>
      </c>
      <c r="J31" s="26"/>
      <c r="K31" s="28">
        <f>J30*$B$7</f>
        <v>57.313025747228345</v>
      </c>
      <c r="L31" s="26"/>
      <c r="M31" s="27">
        <f>L30*$B$7</f>
        <v>57.313025747228373</v>
      </c>
      <c r="N31" s="6"/>
      <c r="O31" s="6"/>
      <c r="P31" s="6"/>
      <c r="Q31" s="6"/>
      <c r="R31" s="6"/>
      <c r="S31" s="6"/>
      <c r="T31" s="6"/>
      <c r="U31" s="6"/>
      <c r="V31" s="6"/>
      <c r="W31" s="6"/>
      <c r="X31" s="6"/>
      <c r="Y31" s="6"/>
      <c r="Z31" s="6"/>
      <c r="AA31" s="6"/>
      <c r="AB31" s="6"/>
      <c r="AC31" s="6"/>
      <c r="AD31" s="6"/>
      <c r="AE31" s="6"/>
      <c r="AF31" s="6"/>
      <c r="AG31" s="6"/>
      <c r="AH31" s="6"/>
      <c r="AI31" s="6"/>
      <c r="AJ31" s="6"/>
      <c r="AK31" s="6"/>
      <c r="AL31" s="6"/>
      <c r="AM31" s="6"/>
    </row>
    <row r="32" spans="1:39" ht="18.75" customHeight="1" x14ac:dyDescent="0.2">
      <c r="A32" s="26"/>
      <c r="B32" s="26"/>
      <c r="C32" s="26"/>
      <c r="D32" s="26"/>
      <c r="E32" s="26"/>
      <c r="F32" s="26"/>
      <c r="G32" s="26"/>
      <c r="H32" s="28">
        <f>G31*$B$7</f>
        <v>51.591968498379813</v>
      </c>
      <c r="I32" s="26"/>
      <c r="J32" s="28">
        <f>I31*$B$7</f>
        <v>51.591968498379813</v>
      </c>
      <c r="K32" s="26"/>
      <c r="L32" s="28">
        <f>K31*$B$7</f>
        <v>51.591968498379813</v>
      </c>
      <c r="M32" s="29"/>
      <c r="N32" s="6"/>
      <c r="O32" s="6"/>
      <c r="P32" s="6"/>
      <c r="Q32" s="6"/>
      <c r="R32" s="6"/>
      <c r="S32" s="6"/>
      <c r="T32" s="6"/>
      <c r="U32" s="6"/>
      <c r="V32" s="6"/>
      <c r="W32" s="6"/>
      <c r="X32" s="6"/>
      <c r="Y32" s="6"/>
      <c r="Z32" s="6"/>
      <c r="AA32" s="6"/>
      <c r="AB32" s="6"/>
      <c r="AC32" s="6"/>
      <c r="AD32" s="6"/>
      <c r="AE32" s="6"/>
      <c r="AF32" s="6"/>
      <c r="AG32" s="6"/>
      <c r="AH32" s="6"/>
      <c r="AI32" s="6"/>
      <c r="AJ32" s="6"/>
      <c r="AK32" s="6"/>
      <c r="AL32" s="6"/>
      <c r="AM32" s="6"/>
    </row>
    <row r="33" spans="1:40" ht="18.75" customHeight="1" x14ac:dyDescent="0.2">
      <c r="A33" s="26"/>
      <c r="B33" s="26"/>
      <c r="C33" s="26"/>
      <c r="D33" s="26"/>
      <c r="E33" s="26"/>
      <c r="F33" s="26"/>
      <c r="G33" s="26"/>
      <c r="H33" s="26"/>
      <c r="I33" s="28">
        <f>H32*$B$7</f>
        <v>46.441994273291989</v>
      </c>
      <c r="J33" s="26"/>
      <c r="K33" s="28">
        <f>J32*$B$7</f>
        <v>46.441994273291989</v>
      </c>
      <c r="L33" s="26"/>
      <c r="M33" s="27">
        <f>L32*$B$7</f>
        <v>46.441994273291989</v>
      </c>
      <c r="N33" s="6"/>
      <c r="O33" s="6"/>
      <c r="P33" s="6"/>
      <c r="Q33" s="6"/>
      <c r="R33" s="6"/>
      <c r="S33" s="6"/>
      <c r="T33" s="6"/>
      <c r="U33" s="6"/>
      <c r="V33" s="6"/>
      <c r="W33" s="6"/>
      <c r="X33" s="6"/>
      <c r="Y33" s="6"/>
      <c r="Z33" s="6"/>
      <c r="AA33" s="6"/>
      <c r="AB33" s="6"/>
      <c r="AC33" s="6"/>
      <c r="AD33" s="6"/>
      <c r="AE33" s="6"/>
      <c r="AF33" s="6"/>
      <c r="AG33" s="6"/>
      <c r="AH33" s="6"/>
      <c r="AI33" s="6"/>
      <c r="AJ33" s="6"/>
      <c r="AK33" s="6"/>
      <c r="AL33" s="6"/>
      <c r="AM33" s="6"/>
    </row>
    <row r="34" spans="1:40" ht="18.75" customHeight="1" x14ac:dyDescent="0.2">
      <c r="A34" s="26"/>
      <c r="B34" s="26"/>
      <c r="C34" s="26"/>
      <c r="D34" s="26"/>
      <c r="E34" s="26"/>
      <c r="F34" s="26"/>
      <c r="G34" s="26"/>
      <c r="H34" s="26"/>
      <c r="I34" s="26"/>
      <c r="J34" s="28">
        <f>I33*$B$7</f>
        <v>41.806096856882284</v>
      </c>
      <c r="K34" s="26"/>
      <c r="L34" s="28">
        <f>K33*$B$7</f>
        <v>41.806096856882284</v>
      </c>
      <c r="M34" s="29"/>
      <c r="N34" s="6"/>
      <c r="O34" s="6"/>
      <c r="P34" s="6"/>
      <c r="Q34" s="6"/>
      <c r="R34" s="6"/>
      <c r="S34" s="6"/>
      <c r="T34" s="6"/>
      <c r="U34" s="6"/>
      <c r="V34" s="6"/>
      <c r="W34" s="6"/>
      <c r="X34" s="6"/>
      <c r="Y34" s="6"/>
      <c r="Z34" s="6"/>
      <c r="AA34" s="6"/>
      <c r="AB34" s="6"/>
      <c r="AC34" s="6"/>
      <c r="AD34" s="6"/>
      <c r="AE34" s="6"/>
      <c r="AF34" s="6"/>
      <c r="AG34" s="6"/>
      <c r="AH34" s="6"/>
      <c r="AI34" s="6"/>
      <c r="AJ34" s="6"/>
      <c r="AK34" s="6"/>
      <c r="AL34" s="6"/>
      <c r="AM34" s="6"/>
    </row>
    <row r="35" spans="1:40" ht="18.75" customHeight="1" x14ac:dyDescent="0.2">
      <c r="A35" s="26"/>
      <c r="B35" s="26"/>
      <c r="C35" s="26"/>
      <c r="D35" s="26"/>
      <c r="E35" s="26"/>
      <c r="F35" s="26"/>
      <c r="G35" s="26"/>
      <c r="H35" s="26"/>
      <c r="I35" s="26"/>
      <c r="J35" s="26"/>
      <c r="K35" s="28">
        <f>J34*$B$7</f>
        <v>37.632960465096225</v>
      </c>
      <c r="L35" s="26"/>
      <c r="M35" s="27">
        <f>L34*$B$7</f>
        <v>37.632960465096225</v>
      </c>
      <c r="N35" s="6"/>
      <c r="O35" s="6"/>
      <c r="P35" s="6"/>
      <c r="Q35" s="6"/>
      <c r="R35" s="6"/>
      <c r="S35" s="6"/>
      <c r="T35" s="6"/>
      <c r="U35" s="6"/>
      <c r="V35" s="6"/>
      <c r="W35" s="6"/>
      <c r="X35" s="6"/>
      <c r="Y35" s="6"/>
      <c r="Z35" s="6"/>
      <c r="AA35" s="6"/>
      <c r="AB35" s="6"/>
      <c r="AC35" s="6"/>
      <c r="AD35" s="6"/>
      <c r="AE35" s="6"/>
      <c r="AF35" s="6"/>
      <c r="AG35" s="6"/>
      <c r="AH35" s="6"/>
      <c r="AI35" s="6"/>
      <c r="AJ35" s="6"/>
      <c r="AK35" s="6"/>
      <c r="AL35" s="6"/>
      <c r="AM35" s="6"/>
    </row>
    <row r="36" spans="1:40" ht="18.75" customHeight="1" x14ac:dyDescent="0.2">
      <c r="A36" s="26"/>
      <c r="B36" s="26"/>
      <c r="C36" s="26"/>
      <c r="D36" s="26"/>
      <c r="E36" s="26"/>
      <c r="F36" s="26"/>
      <c r="G36" s="26"/>
      <c r="H36" s="26"/>
      <c r="I36" s="26"/>
      <c r="J36" s="26"/>
      <c r="K36" s="26"/>
      <c r="L36" s="28">
        <f>K35*$B$7</f>
        <v>33.876391719031012</v>
      </c>
      <c r="M36" s="29"/>
      <c r="N36" s="6"/>
      <c r="O36" s="6"/>
      <c r="P36" s="6"/>
      <c r="Q36" s="6"/>
      <c r="R36" s="6"/>
      <c r="S36" s="6"/>
      <c r="T36" s="6"/>
      <c r="U36" s="6"/>
      <c r="V36" s="6"/>
      <c r="W36" s="6"/>
      <c r="X36" s="6"/>
      <c r="Y36" s="6"/>
      <c r="Z36" s="6"/>
      <c r="AA36" s="6"/>
      <c r="AB36" s="6"/>
      <c r="AC36" s="6"/>
      <c r="AD36" s="6"/>
      <c r="AE36" s="6"/>
      <c r="AF36" s="6"/>
      <c r="AG36" s="6"/>
      <c r="AH36" s="6"/>
      <c r="AI36" s="6"/>
      <c r="AJ36" s="6"/>
      <c r="AK36" s="6"/>
      <c r="AL36" s="6"/>
      <c r="AM36" s="6"/>
    </row>
    <row r="37" spans="1:40" ht="18.75" customHeight="1" thickBot="1" x14ac:dyDescent="0.25">
      <c r="A37" s="26"/>
      <c r="B37" s="26"/>
      <c r="C37" s="26"/>
      <c r="D37" s="26"/>
      <c r="E37" s="26"/>
      <c r="F37" s="26"/>
      <c r="G37" s="26"/>
      <c r="H37" s="26"/>
      <c r="I37" s="26"/>
      <c r="J37" s="26"/>
      <c r="K37" s="26"/>
      <c r="L37" s="26"/>
      <c r="M37" s="27">
        <f>L36*$B$7</f>
        <v>30.494808320105903</v>
      </c>
      <c r="N37" s="6"/>
      <c r="O37" s="6"/>
      <c r="P37" s="6"/>
      <c r="Q37" s="6"/>
      <c r="R37" s="6"/>
      <c r="S37" s="6"/>
      <c r="T37" s="6"/>
      <c r="U37" s="6"/>
      <c r="V37" s="6"/>
      <c r="W37" s="6"/>
      <c r="X37" s="6"/>
      <c r="Y37" s="6"/>
      <c r="Z37" s="6"/>
      <c r="AA37" s="6"/>
      <c r="AB37" s="6"/>
      <c r="AC37" s="6"/>
      <c r="AD37" s="6"/>
      <c r="AE37" s="6"/>
      <c r="AF37" s="6"/>
      <c r="AG37" s="6"/>
      <c r="AH37" s="6"/>
      <c r="AI37" s="6"/>
      <c r="AJ37" s="6"/>
      <c r="AK37" s="6"/>
      <c r="AL37" s="6"/>
      <c r="AM37" s="6"/>
    </row>
    <row r="38" spans="1:40" ht="18.75" customHeight="1" thickBot="1" x14ac:dyDescent="0.2">
      <c r="A38" s="83" t="s">
        <v>31</v>
      </c>
      <c r="B38" s="84"/>
      <c r="C38" s="84"/>
      <c r="D38" s="84"/>
      <c r="E38" s="84"/>
      <c r="F38" s="84"/>
      <c r="G38" s="84"/>
      <c r="H38" s="84"/>
      <c r="I38" s="84"/>
      <c r="J38" s="84"/>
      <c r="K38" s="84"/>
      <c r="L38" s="84"/>
      <c r="M38" s="85"/>
      <c r="N38" s="6"/>
      <c r="O38" s="6"/>
      <c r="P38" s="6"/>
      <c r="Q38" s="6"/>
      <c r="R38" s="6"/>
      <c r="S38" s="6"/>
      <c r="T38" s="6"/>
      <c r="U38" s="6"/>
      <c r="V38" s="6"/>
      <c r="W38" s="6"/>
      <c r="X38" s="6"/>
      <c r="Y38" s="6"/>
      <c r="Z38" s="6"/>
      <c r="AA38" s="6"/>
      <c r="AB38" s="6"/>
      <c r="AC38" s="6"/>
      <c r="AD38" s="6"/>
      <c r="AE38" s="6"/>
      <c r="AF38" s="6"/>
      <c r="AG38" s="6"/>
      <c r="AH38" s="6"/>
      <c r="AI38" s="6"/>
      <c r="AJ38" s="6"/>
      <c r="AK38" s="6"/>
      <c r="AL38" s="6"/>
      <c r="AM38" s="6"/>
      <c r="AN38" s="6"/>
    </row>
    <row r="39" spans="1:40" ht="18.75" customHeight="1" x14ac:dyDescent="0.2">
      <c r="A39" s="24">
        <v>0</v>
      </c>
      <c r="B39" s="24">
        <v>1</v>
      </c>
      <c r="C39" s="24">
        <v>2</v>
      </c>
      <c r="D39" s="24">
        <v>3</v>
      </c>
      <c r="E39" s="24">
        <v>4</v>
      </c>
      <c r="F39" s="24">
        <v>5</v>
      </c>
      <c r="G39" s="24">
        <v>6</v>
      </c>
      <c r="H39" s="24">
        <v>7</v>
      </c>
      <c r="I39" s="24">
        <v>8</v>
      </c>
      <c r="J39" s="24">
        <v>9</v>
      </c>
      <c r="K39" s="24">
        <v>10</v>
      </c>
      <c r="L39" s="24">
        <v>11</v>
      </c>
      <c r="M39" s="24">
        <v>12</v>
      </c>
      <c r="N39" s="6"/>
      <c r="O39" s="6"/>
      <c r="P39" s="6"/>
      <c r="Q39" s="6"/>
      <c r="R39" s="6"/>
      <c r="S39" s="6"/>
      <c r="T39" s="6"/>
      <c r="U39" s="6"/>
      <c r="V39" s="6"/>
      <c r="W39" s="6"/>
      <c r="X39" s="6"/>
      <c r="Y39" s="6"/>
      <c r="Z39" s="6"/>
      <c r="AA39" s="6"/>
      <c r="AB39" s="6"/>
      <c r="AC39" s="6"/>
      <c r="AD39" s="6"/>
      <c r="AE39" s="6"/>
      <c r="AF39" s="6"/>
      <c r="AG39" s="6"/>
      <c r="AH39" s="6"/>
      <c r="AI39" s="6"/>
      <c r="AJ39" s="6"/>
      <c r="AK39" s="6"/>
      <c r="AL39" s="6"/>
      <c r="AM39" s="6"/>
    </row>
    <row r="40" spans="1:40" ht="25.5" customHeight="1" x14ac:dyDescent="0.3">
      <c r="A40" s="25" t="s">
        <v>30</v>
      </c>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row>
    <row r="41" spans="1:40" ht="18.75" customHeight="1" x14ac:dyDescent="0.15">
      <c r="A41" s="26"/>
      <c r="B41" s="26"/>
      <c r="C41" s="26"/>
      <c r="D41" s="26"/>
      <c r="E41" s="26"/>
      <c r="F41" s="26"/>
      <c r="G41" s="26"/>
      <c r="H41" s="26"/>
      <c r="I41" s="26"/>
      <c r="J41" s="26"/>
      <c r="K41" s="26"/>
      <c r="L41" s="26"/>
      <c r="M41" s="28">
        <f>IF(M13&gt;Exercise,M13-Exercise,0)</f>
        <v>280.48332138951486</v>
      </c>
      <c r="N41" s="6"/>
      <c r="O41" s="6"/>
      <c r="P41" s="6"/>
      <c r="Q41" s="6"/>
      <c r="R41" s="6"/>
      <c r="S41" s="6"/>
      <c r="T41" s="6"/>
      <c r="U41" s="6"/>
      <c r="V41" s="6"/>
      <c r="W41" s="6"/>
      <c r="X41" s="6"/>
      <c r="Y41" s="6"/>
      <c r="Z41" s="6"/>
      <c r="AA41" s="6"/>
      <c r="AB41" s="6"/>
      <c r="AC41" s="6"/>
      <c r="AD41" s="6"/>
      <c r="AE41" s="6"/>
      <c r="AF41" s="6"/>
      <c r="AG41" s="6"/>
      <c r="AH41" s="6"/>
      <c r="AI41" s="6"/>
      <c r="AJ41" s="6"/>
      <c r="AK41" s="6"/>
      <c r="AL41" s="6"/>
      <c r="AM41" s="6"/>
    </row>
    <row r="42" spans="1:40" ht="18.75" customHeight="1" x14ac:dyDescent="0.15">
      <c r="A42" s="26"/>
      <c r="B42" s="26"/>
      <c r="C42" s="26"/>
      <c r="D42" s="26"/>
      <c r="E42" s="26"/>
      <c r="F42" s="26"/>
      <c r="G42" s="26"/>
      <c r="H42" s="26"/>
      <c r="I42" s="26"/>
      <c r="J42" s="26"/>
      <c r="K42" s="26"/>
      <c r="L42" s="28">
        <f>((M41*$E$7)/(1+$E$6))+((M43*(1-$E$7))/(1+$E$6))</f>
        <v>242.70030758172678</v>
      </c>
      <c r="M42" s="26"/>
      <c r="N42" s="6"/>
      <c r="O42" s="6"/>
      <c r="P42" s="6"/>
      <c r="Q42" s="6"/>
      <c r="R42" s="6"/>
      <c r="S42" s="6"/>
      <c r="T42" s="6"/>
      <c r="U42" s="6"/>
      <c r="V42" s="6"/>
      <c r="W42" s="6"/>
      <c r="X42" s="6"/>
      <c r="Y42" s="6"/>
      <c r="Z42" s="6"/>
      <c r="AA42" s="6"/>
      <c r="AB42" s="6"/>
      <c r="AC42" s="6"/>
      <c r="AD42" s="6"/>
      <c r="AE42" s="6"/>
      <c r="AF42" s="6"/>
      <c r="AG42" s="6"/>
      <c r="AH42" s="6"/>
      <c r="AI42" s="6"/>
      <c r="AJ42" s="6"/>
      <c r="AK42" s="6"/>
      <c r="AL42" s="6"/>
      <c r="AM42" s="6"/>
    </row>
    <row r="43" spans="1:40" ht="18.75" customHeight="1" x14ac:dyDescent="0.15">
      <c r="A43" s="26"/>
      <c r="B43" s="26"/>
      <c r="C43" s="26"/>
      <c r="D43" s="26"/>
      <c r="E43" s="26"/>
      <c r="F43" s="26"/>
      <c r="G43" s="26"/>
      <c r="H43" s="26"/>
      <c r="I43" s="26"/>
      <c r="J43" s="26"/>
      <c r="K43" s="28">
        <f>((L42*$E$7)/(1+$E$6))+((L44*(1-$E$7))/(1+$E$6))</f>
        <v>208.69322517454577</v>
      </c>
      <c r="L43" s="26"/>
      <c r="M43" s="28">
        <f>IF(M15&gt;Exercise,M15-Exercise,0)</f>
        <v>208.31393043159136</v>
      </c>
      <c r="N43" s="6"/>
      <c r="O43" s="6"/>
      <c r="P43" s="6"/>
      <c r="Q43" s="6"/>
      <c r="R43" s="6"/>
      <c r="S43" s="6"/>
      <c r="T43" s="6"/>
      <c r="U43" s="6"/>
      <c r="V43" s="6"/>
      <c r="W43" s="6"/>
      <c r="X43" s="6"/>
      <c r="Y43" s="6"/>
      <c r="Z43" s="6"/>
      <c r="AA43" s="6"/>
      <c r="AB43" s="6"/>
      <c r="AC43" s="6"/>
      <c r="AD43" s="6"/>
      <c r="AE43" s="6"/>
      <c r="AF43" s="6"/>
      <c r="AG43" s="6"/>
      <c r="AH43" s="6"/>
      <c r="AI43" s="6"/>
      <c r="AJ43" s="6"/>
      <c r="AK43" s="6"/>
      <c r="AL43" s="6"/>
      <c r="AM43" s="6"/>
    </row>
    <row r="44" spans="1:40" ht="18.75" customHeight="1" x14ac:dyDescent="0.15">
      <c r="A44" s="26"/>
      <c r="B44" s="26"/>
      <c r="C44" s="26"/>
      <c r="D44" s="26"/>
      <c r="E44" s="26"/>
      <c r="F44" s="26"/>
      <c r="G44" s="26"/>
      <c r="H44" s="26"/>
      <c r="I44" s="26"/>
      <c r="J44" s="28">
        <f>((K43*$E$7)/(1+$E$6))+((K45*(1-$E$7))/(1+$E$6))</f>
        <v>178.08589607711662</v>
      </c>
      <c r="K44" s="26"/>
      <c r="L44" s="28">
        <f>((M43*$E$7)/(1+$E$6))+((M45*(1-$E$7))/(1+$E$6))</f>
        <v>177.72053325919106</v>
      </c>
      <c r="M44" s="26"/>
      <c r="N44" s="6"/>
      <c r="O44" s="6"/>
      <c r="P44" s="6"/>
      <c r="Q44" s="6"/>
      <c r="R44" s="6"/>
      <c r="S44" s="6"/>
      <c r="T44" s="6"/>
      <c r="U44" s="6"/>
      <c r="V44" s="6"/>
      <c r="W44" s="6"/>
      <c r="X44" s="6"/>
      <c r="Y44" s="6"/>
      <c r="Z44" s="6"/>
      <c r="AA44" s="6"/>
      <c r="AB44" s="6"/>
      <c r="AC44" s="6"/>
      <c r="AD44" s="6"/>
      <c r="AE44" s="6"/>
      <c r="AF44" s="6"/>
      <c r="AG44" s="6"/>
      <c r="AH44" s="6"/>
      <c r="AI44" s="6"/>
      <c r="AJ44" s="6"/>
      <c r="AK44" s="6"/>
      <c r="AL44" s="6"/>
      <c r="AM44" s="6"/>
    </row>
    <row r="45" spans="1:40" ht="18.75" customHeight="1" x14ac:dyDescent="0.15">
      <c r="A45" s="26"/>
      <c r="B45" s="26"/>
      <c r="C45" s="26"/>
      <c r="D45" s="26"/>
      <c r="E45" s="26"/>
      <c r="F45" s="26"/>
      <c r="G45" s="26"/>
      <c r="H45" s="26"/>
      <c r="I45" s="28">
        <f>((J44*$E$7)/(1+$E$6))+((J46*(1-$E$7))/(1+$E$6))</f>
        <v>150.53961760873582</v>
      </c>
      <c r="J45" s="26"/>
      <c r="K45" s="28">
        <f>((L44*$E$7)/(1+$E$6))+((L46*(1-$E$7))/(1+$E$6))</f>
        <v>150.18682772594579</v>
      </c>
      <c r="L45" s="26"/>
      <c r="M45" s="28">
        <f>IF(M17&gt;Exercise,M17-Exercise,0)</f>
        <v>149.83349953692795</v>
      </c>
      <c r="N45" s="6"/>
      <c r="O45" s="6"/>
      <c r="P45" s="6"/>
      <c r="Q45" s="6"/>
      <c r="R45" s="6"/>
      <c r="S45" s="6"/>
      <c r="T45" s="6"/>
      <c r="U45" s="6"/>
      <c r="V45" s="6"/>
      <c r="W45" s="6"/>
      <c r="X45" s="6"/>
      <c r="Y45" s="6"/>
      <c r="Z45" s="6"/>
      <c r="AA45" s="6"/>
      <c r="AB45" s="6"/>
      <c r="AC45" s="6"/>
      <c r="AD45" s="6"/>
      <c r="AE45" s="6"/>
      <c r="AF45" s="6"/>
      <c r="AG45" s="6"/>
      <c r="AH45" s="6"/>
      <c r="AI45" s="6"/>
      <c r="AJ45" s="6"/>
      <c r="AK45" s="6"/>
      <c r="AL45" s="6"/>
      <c r="AM45" s="6"/>
    </row>
    <row r="46" spans="1:40" ht="18.75" customHeight="1" x14ac:dyDescent="0.15">
      <c r="A46" s="26"/>
      <c r="B46" s="26"/>
      <c r="C46" s="26"/>
      <c r="D46" s="26"/>
      <c r="E46" s="26"/>
      <c r="F46" s="26"/>
      <c r="G46" s="26"/>
      <c r="H46" s="28">
        <f>((I45*$E$7)/(1+$E$6))+((I47*(1-$E$7))/(1+$E$6))</f>
        <v>125.74942914555348</v>
      </c>
      <c r="I46" s="26"/>
      <c r="J46" s="28">
        <f>((K45*$E$7)/(1+$E$6))+((K47*(1-$E$7))/(1+$E$6))</f>
        <v>125.40798855741605</v>
      </c>
      <c r="K46" s="26"/>
      <c r="L46" s="28">
        <f>((M45*$E$7)/(1+$E$6))+((M47*(1-$E$7))/(1+$E$6))</f>
        <v>125.06600546865735</v>
      </c>
      <c r="M46" s="26"/>
      <c r="N46" s="6"/>
      <c r="O46" s="6"/>
      <c r="P46" s="6"/>
      <c r="Q46" s="6"/>
      <c r="R46" s="6"/>
      <c r="S46" s="6"/>
      <c r="T46" s="6"/>
      <c r="U46" s="6"/>
      <c r="V46" s="6"/>
      <c r="W46" s="6"/>
      <c r="X46" s="6"/>
      <c r="Y46" s="6"/>
      <c r="Z46" s="6"/>
      <c r="AA46" s="6"/>
      <c r="AB46" s="6"/>
      <c r="AC46" s="6"/>
      <c r="AD46" s="6"/>
      <c r="AE46" s="6"/>
      <c r="AF46" s="6"/>
      <c r="AG46" s="6"/>
      <c r="AH46" s="6"/>
      <c r="AI46" s="6"/>
      <c r="AJ46" s="6"/>
      <c r="AK46" s="6"/>
      <c r="AL46" s="6"/>
      <c r="AM46" s="6"/>
    </row>
    <row r="47" spans="1:40" ht="18.75" customHeight="1" x14ac:dyDescent="0.15">
      <c r="A47" s="26"/>
      <c r="B47" s="26"/>
      <c r="C47" s="26"/>
      <c r="D47" s="26"/>
      <c r="E47" s="26"/>
      <c r="F47" s="26"/>
      <c r="G47" s="28">
        <f>((H46*$E$7)/(1+$E$6))+((H48*(1-$E$7))/(1+$E$6))</f>
        <v>103.44075068920198</v>
      </c>
      <c r="H47" s="26"/>
      <c r="I47" s="28">
        <f>((J46*$E$7)/(1+$E$6))+((J48*(1-$E$7))/(1+$E$6))</f>
        <v>103.1095576209878</v>
      </c>
      <c r="J47" s="26"/>
      <c r="K47" s="28">
        <f>((L46*$E$7)/(1+$E$6))+((L48*(1-$E$7))/(1+$E$6))</f>
        <v>102.77781834573125</v>
      </c>
      <c r="L47" s="26"/>
      <c r="M47" s="28">
        <f>IF(M19&gt;Exercise,M19-Exercise,0)</f>
        <v>102.44553142147819</v>
      </c>
      <c r="N47" s="6"/>
      <c r="O47" s="6"/>
      <c r="P47" s="6"/>
      <c r="Q47" s="6"/>
      <c r="R47" s="6"/>
      <c r="S47" s="6"/>
      <c r="T47" s="6"/>
      <c r="U47" s="6"/>
      <c r="V47" s="6"/>
      <c r="W47" s="6"/>
      <c r="X47" s="6"/>
      <c r="Y47" s="6"/>
      <c r="Z47" s="6"/>
      <c r="AA47" s="6"/>
      <c r="AB47" s="6"/>
      <c r="AC47" s="6"/>
      <c r="AD47" s="6"/>
      <c r="AE47" s="6"/>
      <c r="AF47" s="6"/>
      <c r="AG47" s="6"/>
      <c r="AH47" s="6"/>
      <c r="AI47" s="6"/>
      <c r="AJ47" s="6"/>
      <c r="AK47" s="6"/>
      <c r="AL47" s="6"/>
      <c r="AM47" s="6"/>
    </row>
    <row r="48" spans="1:40" ht="18.75" customHeight="1" x14ac:dyDescent="0.15">
      <c r="A48" s="26"/>
      <c r="B48" s="26"/>
      <c r="C48" s="26"/>
      <c r="D48" s="26"/>
      <c r="E48" s="26"/>
      <c r="F48" s="28">
        <f>((G47*$E$7)/(1+$E$6))+((G49*(1-$E$7))/(1+$E$6))</f>
        <v>83.495014601991059</v>
      </c>
      <c r="G48" s="26"/>
      <c r="H48" s="28">
        <f>((I47*$E$7)/(1+$E$6))+((I49*(1-$E$7))/(1+$E$6))</f>
        <v>83.044418708302103</v>
      </c>
      <c r="I48" s="26"/>
      <c r="J48" s="28">
        <f>((K47*$E$7)/(1+$E$6))+((K49*(1-$E$7))/(1+$E$6))</f>
        <v>82.721931636450748</v>
      </c>
      <c r="K48" s="26"/>
      <c r="L48" s="28">
        <f>((M47*$E$7)/(1+$E$6))+((M49*(1-$E$7))/(1+$E$6))</f>
        <v>82.398893651949265</v>
      </c>
      <c r="M48" s="26"/>
      <c r="N48" s="6"/>
      <c r="O48" s="6"/>
      <c r="P48" s="6"/>
      <c r="Q48" s="6"/>
      <c r="R48" s="6"/>
      <c r="S48" s="6"/>
      <c r="T48" s="6"/>
      <c r="U48" s="6"/>
      <c r="V48" s="6"/>
      <c r="W48" s="6"/>
      <c r="X48" s="6"/>
      <c r="Y48" s="6"/>
      <c r="Z48" s="6"/>
      <c r="AA48" s="6"/>
      <c r="AB48" s="6"/>
      <c r="AC48" s="6"/>
      <c r="AD48" s="6"/>
      <c r="AE48" s="6"/>
      <c r="AF48" s="6"/>
      <c r="AG48" s="6"/>
      <c r="AH48" s="6"/>
      <c r="AI48" s="6"/>
      <c r="AJ48" s="6"/>
      <c r="AK48" s="6"/>
      <c r="AL48" s="6"/>
      <c r="AM48" s="6"/>
    </row>
    <row r="49" spans="1:39" ht="18.75" customHeight="1" x14ac:dyDescent="0.15">
      <c r="A49" s="26"/>
      <c r="B49" s="26"/>
      <c r="C49" s="26"/>
      <c r="D49" s="26"/>
      <c r="E49" s="28">
        <f>((F48*$E$7)/(1+$E$6))+((F50*(1-$E$7))/(1+$E$6))</f>
        <v>65.951327333498938</v>
      </c>
      <c r="F49" s="26"/>
      <c r="G49" s="28">
        <f>((H48*$E$7)/(1+$E$6))+((H50*(1-$E$7))/(1+$E$6))</f>
        <v>65.238056602388369</v>
      </c>
      <c r="H49" s="26"/>
      <c r="I49" s="28">
        <f>((J48*$E$7)/(1+$E$6))+((J50*(1-$E$7))/(1+$E$6))</f>
        <v>64.6759459661466</v>
      </c>
      <c r="J49" s="26"/>
      <c r="K49" s="28">
        <f>((L48*$E$7)/(1+$E$6))+((L50*(1-$E$7))/(1+$E$6))</f>
        <v>64.361264457109371</v>
      </c>
      <c r="L49" s="26"/>
      <c r="M49" s="28">
        <f>IF(M21&gt;Exercise,M21-Exercise,0)</f>
        <v>64.046027728426537</v>
      </c>
      <c r="N49" s="6"/>
      <c r="O49" s="6"/>
      <c r="P49" s="6"/>
      <c r="Q49" s="6"/>
      <c r="R49" s="6"/>
      <c r="S49" s="6"/>
      <c r="T49" s="6"/>
      <c r="U49" s="6"/>
      <c r="V49" s="6"/>
      <c r="W49" s="6"/>
      <c r="X49" s="6"/>
      <c r="Y49" s="6"/>
      <c r="Z49" s="6"/>
      <c r="AA49" s="6"/>
      <c r="AB49" s="6"/>
      <c r="AC49" s="6"/>
      <c r="AD49" s="6"/>
      <c r="AE49" s="6"/>
      <c r="AF49" s="6"/>
      <c r="AG49" s="6"/>
      <c r="AH49" s="6"/>
      <c r="AI49" s="6"/>
      <c r="AJ49" s="6"/>
      <c r="AK49" s="6"/>
      <c r="AL49" s="6"/>
      <c r="AM49" s="6"/>
    </row>
    <row r="50" spans="1:39" ht="18.75" customHeight="1" x14ac:dyDescent="0.15">
      <c r="A50" s="26"/>
      <c r="B50" s="26"/>
      <c r="C50" s="26"/>
      <c r="D50" s="28">
        <f>((E49*$E$7)/(1+$E$6))+((E51*(1-$E$7))/(1+$E$6))</f>
        <v>50.899252603596324</v>
      </c>
      <c r="E50" s="26"/>
      <c r="F50" s="28">
        <f>((G49*$E$7)/(1+$E$6))+((G51*(1-$E$7))/(1+$E$6))</f>
        <v>49.875536020736298</v>
      </c>
      <c r="G50" s="26"/>
      <c r="H50" s="28">
        <f>((I49*$E$7)/(1+$E$6))+((I51*(1-$E$7))/(1+$E$6))</f>
        <v>48.917593290610249</v>
      </c>
      <c r="I50" s="26"/>
      <c r="J50" s="28">
        <f>((K49*$E$7)/(1+$E$6))+((K51*(1-$E$7))/(1+$E$6))</f>
        <v>48.132489093038053</v>
      </c>
      <c r="K50" s="26"/>
      <c r="L50" s="28">
        <f>((M49*$E$7)/(1+$E$6))+((M51*(1-$E$7))/(1+$E$6))</f>
        <v>47.824802739548034</v>
      </c>
      <c r="M50" s="26"/>
      <c r="N50" s="6"/>
      <c r="O50" s="6"/>
      <c r="P50" s="6"/>
      <c r="Q50" s="6"/>
      <c r="R50" s="6"/>
      <c r="S50" s="6"/>
      <c r="T50" s="6"/>
      <c r="U50" s="6"/>
      <c r="V50" s="6"/>
      <c r="W50" s="6"/>
      <c r="X50" s="6"/>
      <c r="Y50" s="6"/>
      <c r="Z50" s="6"/>
      <c r="AA50" s="6"/>
      <c r="AB50" s="6"/>
      <c r="AC50" s="6"/>
      <c r="AD50" s="6"/>
      <c r="AE50" s="6"/>
      <c r="AF50" s="6"/>
      <c r="AG50" s="6"/>
      <c r="AH50" s="6"/>
      <c r="AI50" s="6"/>
      <c r="AJ50" s="6"/>
      <c r="AK50" s="6"/>
      <c r="AL50" s="6"/>
      <c r="AM50" s="6"/>
    </row>
    <row r="51" spans="1:39" ht="18.75" customHeight="1" x14ac:dyDescent="0.15">
      <c r="A51" s="26"/>
      <c r="B51" s="26"/>
      <c r="C51" s="28">
        <f>((D50*$E$7)/(1+$E$6))+((D52*(1-$E$7))/(1+$E$6))</f>
        <v>38.365337609551744</v>
      </c>
      <c r="D51" s="26"/>
      <c r="E51" s="28">
        <f>((F50*$E$7)/(1+$E$6))+((F52*(1-$E$7))/(1+$E$6))</f>
        <v>37.093308874842279</v>
      </c>
      <c r="F51" s="26"/>
      <c r="G51" s="28">
        <f>((H50*$E$7)/(1+$E$6))+((H52*(1-$E$7))/(1+$E$6))</f>
        <v>35.780000897101424</v>
      </c>
      <c r="H51" s="26"/>
      <c r="I51" s="28">
        <f>((J50*$E$7)/(1+$E$6))+((J52*(1-$E$7))/(1+$E$6))</f>
        <v>34.453628316941739</v>
      </c>
      <c r="J51" s="26"/>
      <c r="K51" s="28">
        <f>((L50*$E$7)/(1+$E$6))+((L52*(1-$E$7))/(1+$E$6))</f>
        <v>33.231493302403372</v>
      </c>
      <c r="L51" s="26"/>
      <c r="M51" s="28">
        <f>IF(M23&gt;Exercise,M23-Exercise,0)</f>
        <v>32.930072718911021</v>
      </c>
      <c r="N51" s="6"/>
      <c r="O51" s="6"/>
      <c r="P51" s="6"/>
      <c r="Q51" s="6"/>
      <c r="R51" s="6"/>
      <c r="S51" s="6"/>
      <c r="T51" s="6"/>
      <c r="U51" s="6"/>
      <c r="V51" s="6"/>
      <c r="W51" s="6"/>
      <c r="X51" s="6"/>
      <c r="Y51" s="6"/>
      <c r="Z51" s="6"/>
      <c r="AA51" s="6"/>
      <c r="AB51" s="6"/>
      <c r="AC51" s="6"/>
      <c r="AD51" s="6"/>
      <c r="AE51" s="6"/>
      <c r="AF51" s="6"/>
      <c r="AG51" s="6"/>
      <c r="AH51" s="6"/>
      <c r="AI51" s="6"/>
      <c r="AJ51" s="6"/>
      <c r="AK51" s="6"/>
      <c r="AL51" s="6"/>
      <c r="AM51" s="6"/>
    </row>
    <row r="52" spans="1:39" ht="18.75" customHeight="1" x14ac:dyDescent="0.15">
      <c r="A52" s="31"/>
      <c r="B52" s="28">
        <f>((C51*$E$7)/(1+$E$6))+((C53*(1-$E$7))/(1+$E$6))</f>
        <v>28.254296408132152</v>
      </c>
      <c r="C52" s="26"/>
      <c r="D52" s="28">
        <f>((E51*$E$7)/(1+$E$6))+((E53*(1-$E$7))/(1+$E$6))</f>
        <v>26.859686806801356</v>
      </c>
      <c r="E52" s="26"/>
      <c r="F52" s="28">
        <f>((G51*$E$7)/(1+$E$6))+((G53*(1-$E$7))/(1+$E$6))</f>
        <v>25.354967151959446</v>
      </c>
      <c r="G52" s="26"/>
      <c r="H52" s="28">
        <f>((I51*$E$7)/(1+$E$6))+((I53*(1-$E$7))/(1+$E$6))</f>
        <v>23.709835208479106</v>
      </c>
      <c r="I52" s="26"/>
      <c r="J52" s="28">
        <f>((K51*$E$7)/(1+$E$6))+((K53*(1-$E$7))/(1+$E$6))</f>
        <v>21.879626116097523</v>
      </c>
      <c r="K52" s="26"/>
      <c r="L52" s="28">
        <f>((M51*$E$7)/(1+$E$6))+((M53*(1-$E$7))/(1+$E$6))</f>
        <v>19.808663105955809</v>
      </c>
      <c r="M52" s="26"/>
      <c r="N52" s="6"/>
      <c r="O52" s="6"/>
      <c r="P52" s="6"/>
      <c r="Q52" s="6"/>
      <c r="R52" s="6"/>
      <c r="S52" s="6"/>
      <c r="T52" s="6"/>
      <c r="U52" s="6"/>
      <c r="V52" s="6"/>
      <c r="W52" s="6"/>
      <c r="X52" s="6"/>
      <c r="Y52" s="6"/>
      <c r="Z52" s="6"/>
      <c r="AA52" s="6"/>
      <c r="AB52" s="6"/>
      <c r="AC52" s="6"/>
      <c r="AD52" s="6"/>
      <c r="AE52" s="6"/>
      <c r="AF52" s="6"/>
      <c r="AG52" s="6"/>
      <c r="AH52" s="6"/>
      <c r="AI52" s="6"/>
      <c r="AJ52" s="6"/>
      <c r="AK52" s="6"/>
      <c r="AL52" s="6"/>
      <c r="AM52" s="6"/>
    </row>
    <row r="53" spans="1:39" ht="18.75" customHeight="1" x14ac:dyDescent="0.15">
      <c r="A53" s="32">
        <f>((B52*$E$7)/(1+$E$6))+((B54*(1-$E$7))/(1+$E$6))</f>
        <v>20.349815227292588</v>
      </c>
      <c r="B53" s="26"/>
      <c r="C53" s="28">
        <f>((D52*$E$7)/(1+$E$6))+((D54*(1-$E$7))/(1+$E$6))</f>
        <v>18.96645132989326</v>
      </c>
      <c r="D53" s="26"/>
      <c r="E53" s="28">
        <f>((F52*$E$7)/(1+$E$6))+((F54*(1-$E$7))/(1+$E$6))</f>
        <v>17.455180333843476</v>
      </c>
      <c r="F53" s="26"/>
      <c r="G53" s="28">
        <f>((H52*$E$7)/(1+$E$6))+((H54*(1-$E$7))/(1+$E$6))</f>
        <v>15.769865406074217</v>
      </c>
      <c r="H53" s="26"/>
      <c r="I53" s="28">
        <f>((J52*$E$7)/(1+$E$6))+((J54*(1-$E$7))/(1+$E$6))</f>
        <v>13.825998569353743</v>
      </c>
      <c r="J53" s="26"/>
      <c r="K53" s="28">
        <f>((L52*$E$7)/(1+$E$6))+((L54*(1-$E$7))/(1+$E$6))</f>
        <v>11.428972233491393</v>
      </c>
      <c r="L53" s="26"/>
      <c r="M53" s="28">
        <f>IF(M25&gt;Exercise,M25-Exercise,0)</f>
        <v>7.7161360000000627</v>
      </c>
      <c r="N53" s="6"/>
      <c r="O53" s="6"/>
      <c r="P53" s="6"/>
      <c r="Q53" s="6"/>
      <c r="R53" s="6"/>
      <c r="S53" s="6"/>
      <c r="T53" s="6"/>
      <c r="U53" s="6"/>
      <c r="V53" s="6"/>
      <c r="W53" s="6"/>
      <c r="X53" s="6"/>
      <c r="Y53" s="6"/>
      <c r="Z53" s="6"/>
      <c r="AA53" s="6"/>
      <c r="AB53" s="6"/>
      <c r="AC53" s="6"/>
      <c r="AD53" s="6"/>
      <c r="AE53" s="6"/>
      <c r="AF53" s="6"/>
      <c r="AG53" s="6"/>
      <c r="AH53" s="6"/>
      <c r="AI53" s="6"/>
      <c r="AJ53" s="6"/>
      <c r="AK53" s="6"/>
      <c r="AL53" s="6"/>
      <c r="AM53" s="6"/>
    </row>
    <row r="54" spans="1:39" ht="18.75" customHeight="1" x14ac:dyDescent="0.15">
      <c r="A54" s="26"/>
      <c r="B54" s="28">
        <f>((C53*$E$7)/(1+$E$6))+((C55*(1-$E$7))/(1+$E$6))</f>
        <v>13.084818237742148</v>
      </c>
      <c r="C54" s="26"/>
      <c r="D54" s="28">
        <f>((E53*$E$7)/(1+$E$6))+((E55*(1-$E$7))/(1+$E$6))</f>
        <v>11.708624365241779</v>
      </c>
      <c r="E54" s="26"/>
      <c r="F54" s="28">
        <f>((G53*$E$7)/(1+$E$6))+((G55*(1-$E$7))/(1+$E$6))</f>
        <v>10.187760080895359</v>
      </c>
      <c r="G54" s="26"/>
      <c r="H54" s="28">
        <f>((I53*$E$7)/(1+$E$6))+((I55*(1-$E$7))/(1+$E$6))</f>
        <v>8.4613318649646345</v>
      </c>
      <c r="I54" s="26"/>
      <c r="J54" s="28">
        <f>((K53*$E$7)/(1+$E$6))+((K55*(1-$E$7))/(1+$E$6))</f>
        <v>6.4077746917619018</v>
      </c>
      <c r="K54" s="26"/>
      <c r="L54" s="28">
        <f>((M53*$E$7)/(1+$E$6))+((M55*(1-$E$7))/(1+$E$6))</f>
        <v>3.7034989250536059</v>
      </c>
      <c r="M54" s="26"/>
      <c r="N54" s="6"/>
      <c r="O54" s="6"/>
      <c r="P54" s="6"/>
      <c r="Q54" s="6"/>
      <c r="R54" s="6"/>
      <c r="S54" s="6"/>
      <c r="T54" s="6"/>
      <c r="U54" s="6"/>
      <c r="V54" s="6"/>
      <c r="W54" s="6"/>
      <c r="X54" s="6"/>
      <c r="Y54" s="6"/>
      <c r="Z54" s="6"/>
      <c r="AA54" s="6"/>
      <c r="AB54" s="6"/>
      <c r="AC54" s="6"/>
      <c r="AD54" s="6"/>
      <c r="AE54" s="6"/>
      <c r="AF54" s="6"/>
      <c r="AG54" s="6"/>
      <c r="AH54" s="6"/>
      <c r="AI54" s="6"/>
      <c r="AJ54" s="6"/>
      <c r="AK54" s="6"/>
      <c r="AL54" s="6"/>
      <c r="AM54" s="6"/>
    </row>
    <row r="55" spans="1:39" ht="18.75" customHeight="1" x14ac:dyDescent="0.15">
      <c r="A55" s="26"/>
      <c r="B55" s="26"/>
      <c r="C55" s="28">
        <f>((D54*$E$7)/(1+$E$6))+((D56*(1-$E$7))/(1+$E$6))</f>
        <v>7.67420921493932</v>
      </c>
      <c r="D55" s="26"/>
      <c r="E55" s="28">
        <f>((F54*$E$7)/(1+$E$6))+((F56*(1-$E$7))/(1+$E$6))</f>
        <v>6.4197605838059966</v>
      </c>
      <c r="F55" s="26"/>
      <c r="G55" s="28">
        <f>((H54*$E$7)/(1+$E$6))+((H56*(1-$E$7))/(1+$E$6))</f>
        <v>5.0474772996052124</v>
      </c>
      <c r="H55" s="26"/>
      <c r="I55" s="28">
        <f>((J54*$E$7)/(1+$E$6))+((J56*(1-$E$7))/(1+$E$6))</f>
        <v>3.5181696244369807</v>
      </c>
      <c r="J55" s="26"/>
      <c r="K55" s="28">
        <f>((L54*$E$7)/(1+$E$6))+((L56*(1-$E$7))/(1+$E$6))</f>
        <v>1.7775612415168816</v>
      </c>
      <c r="L55" s="26"/>
      <c r="M55" s="28">
        <f>IF(M27&gt;Exercise,M27-Exercise,0)</f>
        <v>0</v>
      </c>
      <c r="N55" s="6"/>
      <c r="O55" s="6"/>
      <c r="P55" s="6"/>
      <c r="Q55" s="6"/>
      <c r="R55" s="6"/>
      <c r="S55" s="6"/>
      <c r="T55" s="6"/>
      <c r="U55" s="6"/>
      <c r="V55" s="6"/>
      <c r="W55" s="6"/>
      <c r="X55" s="6"/>
      <c r="Y55" s="6"/>
      <c r="Z55" s="6"/>
      <c r="AA55" s="6"/>
      <c r="AB55" s="6"/>
      <c r="AC55" s="6"/>
      <c r="AD55" s="6"/>
      <c r="AE55" s="6"/>
      <c r="AF55" s="6"/>
      <c r="AG55" s="6"/>
      <c r="AH55" s="6"/>
      <c r="AI55" s="6"/>
      <c r="AJ55" s="6"/>
      <c r="AK55" s="6"/>
      <c r="AL55" s="6"/>
      <c r="AM55" s="6"/>
    </row>
    <row r="56" spans="1:39" ht="18.75" customHeight="1" x14ac:dyDescent="0.15">
      <c r="A56" s="26"/>
      <c r="B56" s="26"/>
      <c r="C56" s="26"/>
      <c r="D56" s="28">
        <f>((E55*$E$7)/(1+$E$6))+((E57*(1-$E$7))/(1+$E$6))</f>
        <v>3.9598444170324107</v>
      </c>
      <c r="E56" s="26"/>
      <c r="F56" s="28">
        <f>((G55*$E$7)/(1+$E$6))+((G57*(1-$E$7))/(1+$E$6))</f>
        <v>2.9489290081598094</v>
      </c>
      <c r="G56" s="26"/>
      <c r="H56" s="28">
        <f>((I55*$E$7)/(1+$E$6))+((I57*(1-$E$7))/(1+$E$6))</f>
        <v>1.9010632923095645</v>
      </c>
      <c r="I56" s="26"/>
      <c r="J56" s="28">
        <f>((K55*$E$7)/(1+$E$6))+((K57*(1-$E$7))/(1+$E$6))</f>
        <v>0.85317264329901277</v>
      </c>
      <c r="K56" s="26"/>
      <c r="L56" s="28">
        <f>((M55*$E$7)/(1+$E$6))+((M57*(1-$E$7))/(1+$E$6))</f>
        <v>0</v>
      </c>
      <c r="M56" s="28"/>
      <c r="N56" s="6"/>
      <c r="O56" s="6"/>
      <c r="P56" s="6"/>
      <c r="Q56" s="6"/>
      <c r="R56" s="6"/>
      <c r="S56" s="6"/>
      <c r="T56" s="6"/>
      <c r="U56" s="6"/>
      <c r="V56" s="6"/>
      <c r="W56" s="6"/>
      <c r="X56" s="6"/>
      <c r="Y56" s="6"/>
      <c r="Z56" s="6"/>
      <c r="AA56" s="6"/>
      <c r="AB56" s="6"/>
      <c r="AC56" s="6"/>
      <c r="AD56" s="6"/>
      <c r="AE56" s="6"/>
      <c r="AF56" s="6"/>
      <c r="AG56" s="6"/>
      <c r="AH56" s="6"/>
      <c r="AI56" s="6"/>
      <c r="AJ56" s="6"/>
      <c r="AK56" s="6"/>
      <c r="AL56" s="6"/>
      <c r="AM56" s="6"/>
    </row>
    <row r="57" spans="1:39" ht="18.75" customHeight="1" x14ac:dyDescent="0.15">
      <c r="A57" s="26"/>
      <c r="B57" s="26"/>
      <c r="C57" s="26"/>
      <c r="D57" s="26"/>
      <c r="E57" s="28">
        <f>((F56*$E$7)/(1+$E$6))+((F58*(1-$E$7))/(1+$E$6))</f>
        <v>1.6933920115918299</v>
      </c>
      <c r="F57" s="26"/>
      <c r="G57" s="28">
        <f>((H56*$E$7)/(1+$E$6))+((H58*(1-$E$7))/(1+$E$6))</f>
        <v>1.0144209165796765</v>
      </c>
      <c r="H57" s="26"/>
      <c r="I57" s="28">
        <f>((J56*$E$7)/(1+$E$6))+((J58*(1-$E$7))/(1+$E$6))</f>
        <v>0.40949562933351769</v>
      </c>
      <c r="J57" s="26"/>
      <c r="K57" s="28">
        <f>((L56*$E$7)/(1+$E$6))+((L58*(1-$E$7))/(1+$E$6))</f>
        <v>0</v>
      </c>
      <c r="L57" s="26"/>
      <c r="M57" s="28">
        <f>IF(M29&gt;Exercise,M29-Exercise,0)</f>
        <v>0</v>
      </c>
      <c r="N57" s="6"/>
      <c r="O57" s="6"/>
      <c r="P57" s="6"/>
      <c r="Q57" s="6"/>
      <c r="R57" s="6"/>
      <c r="S57" s="6"/>
      <c r="T57" s="6"/>
      <c r="U57" s="6"/>
      <c r="V57" s="6"/>
      <c r="W57" s="6"/>
      <c r="X57" s="6"/>
      <c r="Y57" s="6"/>
      <c r="Z57" s="6"/>
      <c r="AA57" s="6"/>
      <c r="AB57" s="6"/>
      <c r="AC57" s="6"/>
      <c r="AD57" s="6"/>
      <c r="AE57" s="6"/>
      <c r="AF57" s="6"/>
      <c r="AG57" s="6"/>
      <c r="AH57" s="6"/>
      <c r="AI57" s="6"/>
      <c r="AJ57" s="6"/>
      <c r="AK57" s="6"/>
      <c r="AL57" s="6"/>
      <c r="AM57" s="6"/>
    </row>
    <row r="58" spans="1:39" ht="18.75" customHeight="1" x14ac:dyDescent="0.15">
      <c r="A58" s="26"/>
      <c r="B58" s="26"/>
      <c r="C58" s="26"/>
      <c r="D58" s="26"/>
      <c r="E58" s="26"/>
      <c r="F58" s="28">
        <f>((G57*$E$7)/(1+$E$6))+((G59*(1-$E$7))/(1+$E$6))</f>
        <v>0.53583258798567812</v>
      </c>
      <c r="G58" s="26"/>
      <c r="H58" s="28">
        <f>((I57*$E$7)/(1+$E$6))+((I59*(1-$E$7))/(1+$E$6))</f>
        <v>0.19654482801376494</v>
      </c>
      <c r="I58" s="26"/>
      <c r="J58" s="28">
        <f>((K57*$E$7)/(1+$E$6))+((K59*(1-$E$7))/(1+$E$6))</f>
        <v>0</v>
      </c>
      <c r="K58" s="26"/>
      <c r="L58" s="28">
        <f>((M57*$E$7)/(1+$E$6))+((M59*(1-$E$7))/(1+$E$6))</f>
        <v>0</v>
      </c>
      <c r="M58" s="26"/>
      <c r="N58" s="6"/>
      <c r="O58" s="6"/>
      <c r="P58" s="6"/>
      <c r="Q58" s="6"/>
      <c r="R58" s="6"/>
      <c r="S58" s="6"/>
      <c r="T58" s="6"/>
      <c r="U58" s="6"/>
      <c r="V58" s="6"/>
      <c r="W58" s="6"/>
      <c r="X58" s="6"/>
      <c r="Y58" s="6"/>
      <c r="Z58" s="6"/>
      <c r="AA58" s="6"/>
      <c r="AB58" s="6"/>
      <c r="AC58" s="6"/>
      <c r="AD58" s="6"/>
      <c r="AE58" s="6"/>
      <c r="AF58" s="6"/>
      <c r="AG58" s="6"/>
      <c r="AH58" s="6"/>
      <c r="AI58" s="6"/>
      <c r="AJ58" s="6"/>
      <c r="AK58" s="6"/>
      <c r="AL58" s="6"/>
      <c r="AM58" s="6"/>
    </row>
    <row r="59" spans="1:39" ht="18.75" customHeight="1" x14ac:dyDescent="0.15">
      <c r="A59" s="26"/>
      <c r="B59" s="26"/>
      <c r="C59" s="26"/>
      <c r="D59" s="26"/>
      <c r="E59" s="26"/>
      <c r="F59" s="26"/>
      <c r="G59" s="28">
        <f>((H58*$E$7)/(1+$E$6))+((H60*(1-$E$7))/(1+$E$6))</f>
        <v>9.4335242312190759E-2</v>
      </c>
      <c r="H59" s="26"/>
      <c r="I59" s="28">
        <f>((J58*$E$7)/(1+$E$6))+((J60*(1-$E$7))/(1+$E$6))</f>
        <v>0</v>
      </c>
      <c r="J59" s="26"/>
      <c r="K59" s="28">
        <f>((L58*$E$7)/(1+$E$6))+((L60*(1-$E$7))/(1+$E$6))</f>
        <v>0</v>
      </c>
      <c r="L59" s="26"/>
      <c r="M59" s="28">
        <f>IF(M31&gt;Exercise,M31-Exercise,0)</f>
        <v>0</v>
      </c>
      <c r="N59" s="6"/>
      <c r="O59" s="6"/>
      <c r="P59" s="6"/>
      <c r="Q59" s="6"/>
      <c r="R59" s="6"/>
      <c r="S59" s="6"/>
      <c r="T59" s="6"/>
      <c r="U59" s="6"/>
      <c r="V59" s="6"/>
      <c r="W59" s="6"/>
      <c r="X59" s="6"/>
      <c r="Y59" s="6"/>
      <c r="Z59" s="6"/>
      <c r="AA59" s="6"/>
      <c r="AB59" s="6"/>
      <c r="AC59" s="6"/>
      <c r="AD59" s="6"/>
      <c r="AE59" s="6"/>
      <c r="AF59" s="6"/>
      <c r="AG59" s="6"/>
      <c r="AH59" s="6"/>
      <c r="AI59" s="6"/>
      <c r="AJ59" s="6"/>
      <c r="AK59" s="6"/>
      <c r="AL59" s="6"/>
      <c r="AM59" s="6"/>
    </row>
    <row r="60" spans="1:39" ht="18.75" customHeight="1" x14ac:dyDescent="0.15">
      <c r="A60" s="26"/>
      <c r="B60" s="26"/>
      <c r="C60" s="26"/>
      <c r="D60" s="26"/>
      <c r="E60" s="26"/>
      <c r="F60" s="26"/>
      <c r="G60" s="26"/>
      <c r="H60" s="28">
        <f>((I59*$E$7)/(1+$E$6))+((I61*(1-$E$7))/(1+$E$6))</f>
        <v>0</v>
      </c>
      <c r="I60" s="26"/>
      <c r="J60" s="28">
        <f>((K59*$E$7)/(1+$E$6))+((K61*(1-$E$7))/(1+$E$6))</f>
        <v>0</v>
      </c>
      <c r="K60" s="26"/>
      <c r="L60" s="28">
        <f>((M59*$E$7)/(1+$E$6))+((M61*(1-$E$7))/(1+$E$6))</f>
        <v>0</v>
      </c>
      <c r="M60" s="26"/>
      <c r="N60" s="6"/>
      <c r="O60" s="6"/>
      <c r="P60" s="6"/>
      <c r="Q60" s="6"/>
      <c r="R60" s="6"/>
      <c r="S60" s="6"/>
      <c r="T60" s="6"/>
      <c r="U60" s="6"/>
      <c r="V60" s="6"/>
      <c r="W60" s="6"/>
      <c r="X60" s="6"/>
      <c r="Y60" s="6"/>
      <c r="Z60" s="6"/>
      <c r="AA60" s="6"/>
      <c r="AB60" s="6"/>
      <c r="AC60" s="6"/>
      <c r="AD60" s="6"/>
      <c r="AE60" s="6"/>
      <c r="AF60" s="6"/>
      <c r="AG60" s="6"/>
      <c r="AH60" s="6"/>
      <c r="AI60" s="6"/>
      <c r="AJ60" s="6"/>
      <c r="AK60" s="6"/>
      <c r="AL60" s="6"/>
      <c r="AM60" s="6"/>
    </row>
    <row r="61" spans="1:39" ht="18.75" customHeight="1" x14ac:dyDescent="0.15">
      <c r="A61" s="26"/>
      <c r="B61" s="26"/>
      <c r="C61" s="26"/>
      <c r="D61" s="26"/>
      <c r="E61" s="26"/>
      <c r="F61" s="26"/>
      <c r="G61" s="26"/>
      <c r="H61" s="26"/>
      <c r="I61" s="28">
        <f>((J60*$E$7)/(1+$E$6))+((J62*(1-$E$7))/(1+$E$6))</f>
        <v>0</v>
      </c>
      <c r="J61" s="26"/>
      <c r="K61" s="28">
        <f>((L60*$E$7)/(1+$E$6))+((L62*(1-$E$7))/(1+$E$6))</f>
        <v>0</v>
      </c>
      <c r="L61" s="28"/>
      <c r="M61" s="28">
        <f>IF(M33&gt;Exercise,M33-Exercise,0)</f>
        <v>0</v>
      </c>
      <c r="N61" s="6"/>
      <c r="O61" s="6"/>
      <c r="P61" s="6"/>
      <c r="Q61" s="6"/>
      <c r="R61" s="6"/>
      <c r="S61" s="6"/>
      <c r="T61" s="6"/>
      <c r="U61" s="6"/>
      <c r="V61" s="6"/>
      <c r="W61" s="6"/>
      <c r="X61" s="6"/>
      <c r="Y61" s="6"/>
      <c r="Z61" s="6"/>
      <c r="AA61" s="6"/>
      <c r="AB61" s="6"/>
      <c r="AC61" s="6"/>
      <c r="AD61" s="6"/>
      <c r="AE61" s="6"/>
      <c r="AF61" s="6"/>
      <c r="AG61" s="6"/>
      <c r="AH61" s="6"/>
      <c r="AI61" s="6"/>
      <c r="AJ61" s="6"/>
      <c r="AK61" s="6"/>
      <c r="AL61" s="6"/>
      <c r="AM61" s="6"/>
    </row>
    <row r="62" spans="1:39" ht="18.75" customHeight="1" x14ac:dyDescent="0.15">
      <c r="A62" s="26"/>
      <c r="B62" s="26"/>
      <c r="C62" s="26"/>
      <c r="D62" s="26"/>
      <c r="E62" s="26"/>
      <c r="F62" s="26"/>
      <c r="G62" s="26"/>
      <c r="H62" s="26"/>
      <c r="I62" s="26"/>
      <c r="J62" s="28">
        <f>((K61*$E$7)/(1+$E$6))+((K63*(1-$E$7))/(1+$E$6))</f>
        <v>0</v>
      </c>
      <c r="K62" s="26"/>
      <c r="L62" s="28">
        <f>((M61*$E$7)/(1+$E$6))+((M63*(1-$E$7))/(1+$E$6))</f>
        <v>0</v>
      </c>
      <c r="M62" s="26"/>
      <c r="N62" s="6"/>
      <c r="O62" s="6"/>
      <c r="P62" s="6"/>
      <c r="Q62" s="6"/>
      <c r="R62" s="6"/>
      <c r="S62" s="6"/>
      <c r="T62" s="6"/>
      <c r="U62" s="6"/>
      <c r="V62" s="6"/>
      <c r="W62" s="6"/>
      <c r="X62" s="6"/>
      <c r="Y62" s="6"/>
      <c r="Z62" s="6"/>
      <c r="AA62" s="6"/>
      <c r="AB62" s="6"/>
      <c r="AC62" s="6"/>
      <c r="AD62" s="6"/>
      <c r="AE62" s="6"/>
      <c r="AF62" s="6"/>
      <c r="AG62" s="6"/>
      <c r="AH62" s="6"/>
      <c r="AI62" s="6"/>
      <c r="AJ62" s="6"/>
      <c r="AK62" s="6"/>
      <c r="AL62" s="6"/>
      <c r="AM62" s="6"/>
    </row>
    <row r="63" spans="1:39" ht="18.75" customHeight="1" x14ac:dyDescent="0.15">
      <c r="A63" s="26"/>
      <c r="B63" s="26"/>
      <c r="C63" s="26"/>
      <c r="D63" s="26"/>
      <c r="E63" s="26"/>
      <c r="F63" s="26"/>
      <c r="G63" s="26"/>
      <c r="H63" s="26"/>
      <c r="I63" s="26"/>
      <c r="J63" s="26"/>
      <c r="K63" s="28">
        <f>((L62*$E$7)/(1+$E$6))+((L64*(1-$E$7))/(1+$E$6))</f>
        <v>0</v>
      </c>
      <c r="L63" s="26"/>
      <c r="M63" s="28">
        <f>IF(M35&gt;Exercise,M35-Exercise,0)</f>
        <v>0</v>
      </c>
      <c r="N63" s="6"/>
      <c r="O63" s="6"/>
      <c r="P63" s="6"/>
      <c r="Q63" s="6"/>
      <c r="R63" s="6"/>
      <c r="S63" s="6"/>
      <c r="T63" s="6"/>
      <c r="U63" s="6"/>
      <c r="V63" s="6"/>
      <c r="W63" s="6"/>
      <c r="X63" s="6"/>
      <c r="Y63" s="6"/>
      <c r="Z63" s="6"/>
      <c r="AA63" s="6"/>
      <c r="AB63" s="6"/>
      <c r="AC63" s="6"/>
      <c r="AD63" s="6"/>
      <c r="AE63" s="6"/>
      <c r="AF63" s="6"/>
      <c r="AG63" s="6"/>
      <c r="AH63" s="6"/>
      <c r="AI63" s="6"/>
      <c r="AJ63" s="6"/>
      <c r="AK63" s="6"/>
      <c r="AL63" s="6"/>
      <c r="AM63" s="6"/>
    </row>
    <row r="64" spans="1:39" ht="18.75" customHeight="1" x14ac:dyDescent="0.15">
      <c r="A64" s="26"/>
      <c r="B64" s="26"/>
      <c r="C64" s="26"/>
      <c r="D64" s="26"/>
      <c r="E64" s="26"/>
      <c r="F64" s="26"/>
      <c r="G64" s="26"/>
      <c r="H64" s="26"/>
      <c r="I64" s="26"/>
      <c r="J64" s="26"/>
      <c r="K64" s="26"/>
      <c r="L64" s="28">
        <f>((M63*$E$7)/(1+$E$6))+((M65*(1-$E$7))/(1+$E$6))</f>
        <v>0</v>
      </c>
      <c r="M64" s="26"/>
      <c r="N64" s="6"/>
      <c r="O64" s="6"/>
      <c r="P64" s="6"/>
      <c r="Q64" s="6"/>
      <c r="R64" s="6"/>
      <c r="S64" s="6"/>
      <c r="T64" s="6"/>
      <c r="U64" s="6"/>
      <c r="V64" s="6"/>
      <c r="W64" s="6"/>
      <c r="X64" s="6"/>
      <c r="Y64" s="6"/>
      <c r="Z64" s="6"/>
      <c r="AA64" s="6"/>
      <c r="AB64" s="6"/>
      <c r="AC64" s="6"/>
      <c r="AD64" s="6"/>
      <c r="AE64" s="6"/>
      <c r="AF64" s="6"/>
      <c r="AG64" s="6"/>
      <c r="AH64" s="6"/>
      <c r="AI64" s="6"/>
      <c r="AJ64" s="6"/>
      <c r="AK64" s="6"/>
      <c r="AL64" s="6"/>
      <c r="AM64" s="6"/>
    </row>
    <row r="65" spans="1:39" ht="18.75" customHeight="1" thickBot="1" x14ac:dyDescent="0.2">
      <c r="A65" s="81"/>
      <c r="B65" s="81"/>
      <c r="C65" s="81"/>
      <c r="D65" s="81"/>
      <c r="E65" s="81"/>
      <c r="F65" s="81"/>
      <c r="G65" s="81"/>
      <c r="H65" s="81"/>
      <c r="I65" s="81"/>
      <c r="J65" s="81"/>
      <c r="K65" s="81"/>
      <c r="L65" s="81"/>
      <c r="M65" s="82">
        <f>IF(M37&gt;Exercise,M37-Exercise,0)</f>
        <v>0</v>
      </c>
      <c r="N65" s="6"/>
      <c r="O65" s="6"/>
      <c r="P65" s="6"/>
      <c r="Q65" s="6"/>
      <c r="R65" s="6"/>
      <c r="S65" s="6"/>
      <c r="T65" s="6"/>
      <c r="U65" s="6"/>
      <c r="V65" s="6"/>
      <c r="W65" s="6"/>
      <c r="X65" s="6"/>
      <c r="Y65" s="6"/>
      <c r="Z65" s="6"/>
      <c r="AA65" s="6"/>
      <c r="AB65" s="6"/>
      <c r="AC65" s="6"/>
      <c r="AD65" s="6"/>
      <c r="AE65" s="6"/>
      <c r="AF65" s="6"/>
      <c r="AG65" s="6"/>
      <c r="AH65" s="6"/>
      <c r="AI65" s="6"/>
      <c r="AJ65" s="6"/>
      <c r="AK65" s="6"/>
      <c r="AL65" s="6"/>
      <c r="AM65" s="6"/>
    </row>
    <row r="66" spans="1:39" ht="18.75" customHeight="1" thickBot="1" x14ac:dyDescent="0.2">
      <c r="A66" s="83" t="s">
        <v>32</v>
      </c>
      <c r="B66" s="84"/>
      <c r="C66" s="84"/>
      <c r="D66" s="84"/>
      <c r="E66" s="84"/>
      <c r="F66" s="84"/>
      <c r="G66" s="84"/>
      <c r="H66" s="84"/>
      <c r="I66" s="84"/>
      <c r="J66" s="84"/>
      <c r="K66" s="84"/>
      <c r="L66" s="84"/>
      <c r="M66" s="85"/>
      <c r="N66" s="6"/>
      <c r="O66" s="6"/>
      <c r="P66" s="6"/>
      <c r="Q66" s="6"/>
      <c r="R66" s="6"/>
      <c r="S66" s="6"/>
      <c r="T66" s="6"/>
      <c r="U66" s="6"/>
      <c r="V66" s="6"/>
      <c r="W66" s="6"/>
      <c r="X66" s="6"/>
      <c r="Y66" s="6"/>
      <c r="Z66" s="6"/>
      <c r="AA66" s="6"/>
      <c r="AB66" s="6"/>
      <c r="AC66" s="6"/>
      <c r="AD66" s="6"/>
      <c r="AE66" s="6"/>
      <c r="AF66" s="6"/>
      <c r="AG66" s="6"/>
      <c r="AH66" s="6"/>
      <c r="AI66" s="6"/>
      <c r="AJ66" s="6"/>
      <c r="AK66" s="6"/>
      <c r="AL66" s="6"/>
      <c r="AM66" s="6"/>
    </row>
    <row r="67" spans="1:39" ht="18.75" customHeight="1" x14ac:dyDescent="0.15">
      <c r="A67" s="26"/>
      <c r="B67" s="26"/>
      <c r="C67" s="26"/>
      <c r="D67" s="26"/>
      <c r="E67" s="26"/>
      <c r="F67" s="26"/>
      <c r="G67" s="26"/>
      <c r="H67" s="26"/>
      <c r="I67" s="26"/>
      <c r="J67" s="26"/>
      <c r="K67" s="26"/>
      <c r="L67" s="26"/>
      <c r="M67" s="6"/>
      <c r="N67" s="6"/>
      <c r="O67" s="6"/>
      <c r="P67" s="6"/>
      <c r="Q67" s="6"/>
      <c r="R67" s="6"/>
      <c r="S67" s="6"/>
      <c r="T67" s="6"/>
      <c r="U67" s="6"/>
      <c r="V67" s="6"/>
      <c r="W67" s="6"/>
      <c r="X67" s="6"/>
      <c r="Y67" s="6"/>
      <c r="Z67" s="6"/>
      <c r="AA67" s="6"/>
      <c r="AB67" s="6"/>
      <c r="AC67" s="6"/>
      <c r="AD67" s="6"/>
      <c r="AE67" s="6"/>
      <c r="AF67" s="6"/>
      <c r="AG67" s="6"/>
      <c r="AH67" s="6"/>
      <c r="AI67" s="6"/>
      <c r="AJ67" s="6"/>
      <c r="AK67" s="6"/>
      <c r="AL67" s="6"/>
    </row>
    <row r="68" spans="1:39" ht="18.75" customHeight="1" x14ac:dyDescent="0.15">
      <c r="A68" s="26"/>
      <c r="B68" s="26"/>
      <c r="C68" s="26"/>
      <c r="D68" s="26"/>
      <c r="E68" s="26"/>
      <c r="F68" s="26"/>
      <c r="G68" s="26"/>
      <c r="H68" s="26"/>
      <c r="I68" s="26"/>
      <c r="J68" s="26"/>
      <c r="K68" s="26"/>
      <c r="L68" s="26"/>
      <c r="M68" s="28">
        <f>IF(M13&lt;Exercise,Exercise-M13,0)</f>
        <v>0</v>
      </c>
      <c r="N68" s="6"/>
      <c r="O68" s="6"/>
      <c r="P68" s="6"/>
      <c r="Q68" s="6"/>
      <c r="R68" s="6"/>
      <c r="S68" s="6"/>
      <c r="T68" s="6"/>
      <c r="U68" s="6"/>
      <c r="V68" s="6"/>
      <c r="W68" s="6"/>
      <c r="X68" s="6"/>
      <c r="Y68" s="6"/>
      <c r="Z68" s="6"/>
      <c r="AA68" s="6"/>
      <c r="AB68" s="6"/>
      <c r="AC68" s="6"/>
      <c r="AD68" s="6"/>
      <c r="AE68" s="6"/>
      <c r="AF68" s="6"/>
      <c r="AG68" s="6"/>
      <c r="AH68" s="6"/>
      <c r="AI68" s="6"/>
      <c r="AJ68" s="6"/>
      <c r="AK68" s="6"/>
      <c r="AL68" s="6"/>
      <c r="AM68" s="6"/>
    </row>
    <row r="69" spans="1:39" ht="18.75" customHeight="1" x14ac:dyDescent="0.15">
      <c r="A69" s="26"/>
      <c r="B69" s="26"/>
      <c r="C69" s="26"/>
      <c r="D69" s="26"/>
      <c r="E69" s="26"/>
      <c r="F69" s="26"/>
      <c r="G69" s="26"/>
      <c r="H69" s="26"/>
      <c r="I69" s="26"/>
      <c r="J69" s="26"/>
      <c r="K69" s="26"/>
      <c r="L69" s="28">
        <f>((M68*$E$7)/(1+$E$6))+((M70*(1-$E$7))/(1+$E$6))</f>
        <v>0</v>
      </c>
      <c r="M69" s="26"/>
      <c r="N69" s="6"/>
      <c r="O69" s="6"/>
      <c r="P69" s="6"/>
      <c r="Q69" s="6"/>
      <c r="R69" s="6"/>
      <c r="S69" s="6"/>
      <c r="T69" s="6"/>
      <c r="U69" s="6"/>
      <c r="V69" s="6"/>
      <c r="W69" s="6"/>
      <c r="X69" s="6"/>
      <c r="Y69" s="6"/>
      <c r="Z69" s="6"/>
      <c r="AA69" s="6"/>
      <c r="AB69" s="6"/>
      <c r="AC69" s="6"/>
      <c r="AD69" s="6"/>
      <c r="AE69" s="6"/>
      <c r="AF69" s="6"/>
      <c r="AG69" s="6"/>
      <c r="AH69" s="6"/>
      <c r="AI69" s="6"/>
      <c r="AJ69" s="6"/>
      <c r="AK69" s="6"/>
      <c r="AL69" s="6"/>
      <c r="AM69" s="6"/>
    </row>
    <row r="70" spans="1:39" ht="18.75" customHeight="1" x14ac:dyDescent="0.15">
      <c r="A70" s="26"/>
      <c r="B70" s="26"/>
      <c r="C70" s="26"/>
      <c r="D70" s="26"/>
      <c r="E70" s="26"/>
      <c r="F70" s="26"/>
      <c r="G70" s="26"/>
      <c r="H70" s="26"/>
      <c r="I70" s="26"/>
      <c r="J70" s="26"/>
      <c r="K70" s="28">
        <f>((L69*$E$7)/(1+$E$6))+((L71*(1-$E$7))/(1+$E$6))</f>
        <v>0</v>
      </c>
      <c r="L70" s="26"/>
      <c r="M70" s="28">
        <f>IF(M15&lt;Exercise,Exercise-M15,0)</f>
        <v>0</v>
      </c>
      <c r="N70" s="6"/>
      <c r="O70" s="6"/>
      <c r="P70" s="6"/>
      <c r="Q70" s="6"/>
      <c r="R70" s="6"/>
      <c r="S70" s="6"/>
      <c r="T70" s="6"/>
      <c r="U70" s="6"/>
      <c r="V70" s="6"/>
      <c r="W70" s="6"/>
      <c r="X70" s="6"/>
      <c r="Y70" s="6"/>
      <c r="Z70" s="6"/>
      <c r="AA70" s="6"/>
      <c r="AB70" s="6"/>
      <c r="AC70" s="6"/>
      <c r="AD70" s="6"/>
      <c r="AE70" s="6"/>
      <c r="AF70" s="6"/>
      <c r="AG70" s="6"/>
      <c r="AH70" s="6"/>
      <c r="AI70" s="6"/>
      <c r="AJ70" s="6"/>
      <c r="AK70" s="6"/>
      <c r="AL70" s="6"/>
      <c r="AM70" s="6"/>
    </row>
    <row r="71" spans="1:39" ht="18.75" customHeight="1" x14ac:dyDescent="0.15">
      <c r="A71" s="26"/>
      <c r="B71" s="26"/>
      <c r="C71" s="26"/>
      <c r="D71" s="26"/>
      <c r="E71" s="26"/>
      <c r="F71" s="26"/>
      <c r="G71" s="26"/>
      <c r="H71" s="26"/>
      <c r="I71" s="26"/>
      <c r="J71" s="28">
        <f>((K70*$E$7)/(1+$E$6))+((K72*(1-$E$7))/(1+$E$6))</f>
        <v>0</v>
      </c>
      <c r="K71" s="26"/>
      <c r="L71" s="28">
        <f>((M70*$E$7)/(1+$E$6))+((M72*(1-$E$7))/(1+$E$6))</f>
        <v>0</v>
      </c>
      <c r="M71" s="26"/>
      <c r="N71" s="6"/>
      <c r="O71" s="6"/>
      <c r="P71" s="6"/>
      <c r="Q71" s="6"/>
      <c r="R71" s="6"/>
      <c r="S71" s="6"/>
      <c r="T71" s="6"/>
      <c r="U71" s="6"/>
      <c r="V71" s="6"/>
      <c r="W71" s="6"/>
      <c r="X71" s="6"/>
      <c r="Y71" s="6"/>
      <c r="Z71" s="6"/>
      <c r="AA71" s="6"/>
      <c r="AB71" s="6"/>
      <c r="AC71" s="6"/>
      <c r="AD71" s="6"/>
      <c r="AE71" s="6"/>
      <c r="AF71" s="6"/>
      <c r="AG71" s="6"/>
      <c r="AH71" s="6"/>
      <c r="AI71" s="6"/>
      <c r="AJ71" s="6"/>
      <c r="AK71" s="6"/>
      <c r="AL71" s="6"/>
      <c r="AM71" s="6"/>
    </row>
    <row r="72" spans="1:39" ht="18.75" customHeight="1" x14ac:dyDescent="0.15">
      <c r="A72" s="26"/>
      <c r="B72" s="26"/>
      <c r="C72" s="26"/>
      <c r="D72" s="26"/>
      <c r="E72" s="26"/>
      <c r="F72" s="26"/>
      <c r="G72" s="26"/>
      <c r="H72" s="26"/>
      <c r="I72" s="28">
        <f>((J71*$E$7)/(1+$E$6))+((J73*(1-$E$7))/(1+$E$6))</f>
        <v>0</v>
      </c>
      <c r="J72" s="26"/>
      <c r="K72" s="28">
        <f>((L71*$E$7)/(1+$E$6))+((L73*(1-$E$7))/(1+$E$6))</f>
        <v>0</v>
      </c>
      <c r="L72" s="26"/>
      <c r="M72" s="28">
        <f>IF(M17&lt;Exercise,Exercise-M17,0)</f>
        <v>0</v>
      </c>
      <c r="N72" s="6"/>
      <c r="O72" s="6"/>
      <c r="P72" s="6"/>
      <c r="Q72" s="6"/>
      <c r="R72" s="6"/>
      <c r="S72" s="6"/>
      <c r="T72" s="6"/>
      <c r="U72" s="6"/>
      <c r="V72" s="6"/>
      <c r="W72" s="6"/>
      <c r="X72" s="6"/>
      <c r="Y72" s="6"/>
      <c r="Z72" s="6"/>
      <c r="AA72" s="6"/>
      <c r="AB72" s="6"/>
      <c r="AC72" s="6"/>
      <c r="AD72" s="6"/>
      <c r="AE72" s="6"/>
      <c r="AF72" s="6"/>
      <c r="AG72" s="6"/>
      <c r="AH72" s="6"/>
      <c r="AI72" s="6"/>
      <c r="AJ72" s="6"/>
      <c r="AK72" s="6"/>
      <c r="AL72" s="6"/>
      <c r="AM72" s="6"/>
    </row>
    <row r="73" spans="1:39" ht="18.75" customHeight="1" x14ac:dyDescent="0.15">
      <c r="A73" s="26"/>
      <c r="B73" s="26"/>
      <c r="C73" s="26"/>
      <c r="D73" s="26"/>
      <c r="E73" s="26"/>
      <c r="F73" s="26"/>
      <c r="G73" s="26"/>
      <c r="H73" s="28">
        <f>((I72*$E$7)/(1+$E$6))+((I74*(1-$E$7))/(1+$E$6))</f>
        <v>0</v>
      </c>
      <c r="I73" s="26"/>
      <c r="J73" s="28">
        <f>((K72*$E$7)/(1+$E$6))+((K74*(1-$E$7))/(1+$E$6))</f>
        <v>0</v>
      </c>
      <c r="K73" s="26"/>
      <c r="L73" s="28">
        <f>((M72*$E$7)/(1+$E$6))+((M74*(1-$E$7))/(1+$E$6))</f>
        <v>0</v>
      </c>
      <c r="M73" s="26"/>
      <c r="N73" s="6"/>
      <c r="O73" s="6"/>
      <c r="P73" s="6"/>
      <c r="Q73" s="6"/>
      <c r="R73" s="6"/>
      <c r="S73" s="6"/>
      <c r="T73" s="6"/>
      <c r="U73" s="6"/>
      <c r="V73" s="6"/>
      <c r="W73" s="6"/>
      <c r="X73" s="6"/>
      <c r="Y73" s="6"/>
      <c r="Z73" s="6"/>
      <c r="AA73" s="6"/>
      <c r="AB73" s="6"/>
      <c r="AC73" s="6"/>
      <c r="AD73" s="6"/>
      <c r="AE73" s="6"/>
      <c r="AF73" s="6"/>
      <c r="AG73" s="6"/>
      <c r="AH73" s="6"/>
      <c r="AI73" s="6"/>
      <c r="AJ73" s="6"/>
      <c r="AK73" s="6"/>
      <c r="AL73" s="6"/>
      <c r="AM73" s="6"/>
    </row>
    <row r="74" spans="1:39" ht="18.75" customHeight="1" x14ac:dyDescent="0.15">
      <c r="A74" s="26"/>
      <c r="B74" s="26"/>
      <c r="C74" s="26"/>
      <c r="D74" s="26"/>
      <c r="E74" s="26"/>
      <c r="F74" s="26"/>
      <c r="G74" s="28">
        <f>((H73*$E$7)/(1+$E$6))+((H75*(1-$E$7))/(1+$E$6))</f>
        <v>0</v>
      </c>
      <c r="H74" s="26"/>
      <c r="I74" s="28">
        <f>((J73*$E$7)/(1+$E$6))+((J75*(1-$E$7))/(1+$E$6))</f>
        <v>0</v>
      </c>
      <c r="J74" s="26"/>
      <c r="K74" s="28">
        <f>((L73*$E$7)/(1+$E$6))+((L75*(1-$E$7))/(1+$E$6))</f>
        <v>0</v>
      </c>
      <c r="L74" s="26"/>
      <c r="M74" s="28">
        <f>IF(M19&lt;Exercise,Exercise-M19,0)</f>
        <v>0</v>
      </c>
      <c r="N74" s="6"/>
      <c r="O74" s="6"/>
      <c r="P74" s="6"/>
      <c r="Q74" s="6"/>
      <c r="R74" s="6"/>
      <c r="S74" s="6"/>
      <c r="T74" s="6"/>
      <c r="U74" s="6"/>
      <c r="V74" s="6"/>
      <c r="W74" s="6"/>
      <c r="X74" s="6"/>
      <c r="Y74" s="6"/>
      <c r="Z74" s="6"/>
      <c r="AA74" s="6"/>
      <c r="AB74" s="6"/>
      <c r="AC74" s="6"/>
      <c r="AD74" s="6"/>
      <c r="AE74" s="6"/>
      <c r="AF74" s="6"/>
      <c r="AG74" s="6"/>
      <c r="AH74" s="6"/>
      <c r="AI74" s="6"/>
      <c r="AJ74" s="6"/>
      <c r="AK74" s="6"/>
      <c r="AL74" s="6"/>
      <c r="AM74" s="6"/>
    </row>
    <row r="75" spans="1:39" ht="18.75" customHeight="1" x14ac:dyDescent="0.15">
      <c r="A75" s="26"/>
      <c r="B75" s="26"/>
      <c r="C75" s="26"/>
      <c r="D75" s="26"/>
      <c r="E75" s="26"/>
      <c r="F75" s="28">
        <f>((G74*$E$7)/(1+$E$6))+((G76*(1-$E$7))/(1+$E$6))</f>
        <v>0.12865829602632586</v>
      </c>
      <c r="G75" s="26"/>
      <c r="H75" s="28">
        <f>((I74*$E$7)/(1+$E$6))+((I76*(1-$E$7))/(1+$E$6))</f>
        <v>0</v>
      </c>
      <c r="I75" s="26"/>
      <c r="J75" s="28">
        <f>((K74*$E$7)/(1+$E$6))+((K76*(1-$E$7))/(1+$E$6))</f>
        <v>0</v>
      </c>
      <c r="K75" s="26"/>
      <c r="L75" s="28">
        <f>((M74*$E$7)/(1+$E$6))+((M76*(1-$E$7))/(1+$E$6))</f>
        <v>0</v>
      </c>
      <c r="M75" s="26"/>
      <c r="N75" s="6"/>
      <c r="O75" s="6"/>
      <c r="P75" s="6"/>
      <c r="Q75" s="6"/>
      <c r="R75" s="6"/>
      <c r="S75" s="6"/>
      <c r="T75" s="6"/>
      <c r="U75" s="6"/>
      <c r="V75" s="6"/>
      <c r="W75" s="6"/>
      <c r="X75" s="6"/>
      <c r="Y75" s="6"/>
      <c r="Z75" s="6"/>
      <c r="AA75" s="6"/>
      <c r="AB75" s="6"/>
      <c r="AC75" s="6"/>
      <c r="AD75" s="6"/>
      <c r="AE75" s="6"/>
      <c r="AF75" s="6"/>
      <c r="AG75" s="6"/>
      <c r="AH75" s="6"/>
      <c r="AI75" s="6"/>
      <c r="AJ75" s="6"/>
      <c r="AK75" s="6"/>
      <c r="AL75" s="6"/>
      <c r="AM75" s="6"/>
    </row>
    <row r="76" spans="1:39" ht="18.75" customHeight="1" x14ac:dyDescent="0.15">
      <c r="A76" s="26"/>
      <c r="B76" s="26"/>
      <c r="C76" s="26"/>
      <c r="D76" s="26"/>
      <c r="E76" s="28">
        <f>((F75*$E$7)/(1+$E$6))+((F77*(1-$E$7))/(1+$E$6))</f>
        <v>0.64767825729034478</v>
      </c>
      <c r="F76" s="26"/>
      <c r="G76" s="28">
        <f>((H75*$E$7)/(1+$E$6))+((H77*(1-$E$7))/(1+$E$6))</f>
        <v>0.24798290825757779</v>
      </c>
      <c r="H76" s="26"/>
      <c r="I76" s="28">
        <f>((J75*$E$7)/(1+$E$6))+((J77*(1-$E$7))/(1+$E$6))</f>
        <v>0</v>
      </c>
      <c r="J76" s="26"/>
      <c r="K76" s="28">
        <f>((L75*$E$7)/(1+$E$6))+((L77*(1-$E$7))/(1+$E$6))</f>
        <v>0</v>
      </c>
      <c r="L76" s="26"/>
      <c r="M76" s="28">
        <f>IF(M21&lt;Exercise,Exercise-M21,0)</f>
        <v>0</v>
      </c>
      <c r="N76" s="6"/>
      <c r="O76" s="6"/>
      <c r="P76" s="6"/>
      <c r="Q76" s="6"/>
      <c r="R76" s="6"/>
      <c r="S76" s="6"/>
      <c r="T76" s="6"/>
      <c r="U76" s="6"/>
      <c r="V76" s="6"/>
      <c r="W76" s="6"/>
      <c r="X76" s="6"/>
      <c r="Y76" s="6"/>
      <c r="Z76" s="6"/>
      <c r="AA76" s="6"/>
      <c r="AB76" s="6"/>
      <c r="AC76" s="6"/>
      <c r="AD76" s="6"/>
      <c r="AE76" s="6"/>
      <c r="AF76" s="6"/>
      <c r="AG76" s="6"/>
      <c r="AH76" s="6"/>
      <c r="AI76" s="6"/>
      <c r="AJ76" s="6"/>
      <c r="AK76" s="6"/>
      <c r="AL76" s="6"/>
      <c r="AM76" s="6"/>
    </row>
    <row r="77" spans="1:39" ht="18.75" customHeight="1" x14ac:dyDescent="0.15">
      <c r="A77" s="26"/>
      <c r="B77" s="26"/>
      <c r="C77" s="26"/>
      <c r="D77" s="28">
        <f>((E76*$E$7)/(1+$E$6))+((E78*(1-$E$7))/(1+$E$6))</f>
        <v>1.8470450863945094</v>
      </c>
      <c r="E77" s="26"/>
      <c r="F77" s="28">
        <f>((G76*$E$7)/(1+$E$6))+((G78*(1-$E$7))/(1+$E$6))</f>
        <v>1.1293459725848973</v>
      </c>
      <c r="G77" s="26"/>
      <c r="H77" s="28">
        <f>((I76*$E$7)/(1+$E$6))+((I78*(1-$E$7))/(1+$E$6))</f>
        <v>0.4779755731826506</v>
      </c>
      <c r="I77" s="26"/>
      <c r="J77" s="28">
        <f>((K76*$E$7)/(1+$E$6))+((K78*(1-$E$7))/(1+$E$6))</f>
        <v>0</v>
      </c>
      <c r="K77" s="26"/>
      <c r="L77" s="28">
        <f>((M76*$E$7)/(1+$E$6))+((M78*(1-$E$7))/(1+$E$6))</f>
        <v>0</v>
      </c>
      <c r="M77" s="26"/>
      <c r="N77" s="6"/>
      <c r="O77" s="6"/>
      <c r="P77" s="6"/>
      <c r="Q77" s="6"/>
      <c r="R77" s="6"/>
      <c r="S77" s="6"/>
      <c r="T77" s="6"/>
      <c r="U77" s="6"/>
      <c r="V77" s="6"/>
      <c r="W77" s="6"/>
      <c r="X77" s="6"/>
      <c r="Y77" s="6"/>
      <c r="Z77" s="6"/>
      <c r="AA77" s="6"/>
      <c r="AB77" s="6"/>
      <c r="AC77" s="6"/>
      <c r="AD77" s="6"/>
      <c r="AE77" s="6"/>
      <c r="AF77" s="6"/>
      <c r="AG77" s="6"/>
      <c r="AH77" s="6"/>
      <c r="AI77" s="6"/>
      <c r="AJ77" s="6"/>
      <c r="AK77" s="6"/>
      <c r="AL77" s="6"/>
      <c r="AM77" s="6"/>
    </row>
    <row r="78" spans="1:39" ht="18.75" customHeight="1" x14ac:dyDescent="0.15">
      <c r="A78" s="26"/>
      <c r="B78" s="26"/>
      <c r="C78" s="28">
        <f>((D77*$E$7)/(1+$E$6))+((D79*(1-$E$7))/(1+$E$6))</f>
        <v>3.9337611747962042</v>
      </c>
      <c r="D78" s="26"/>
      <c r="E78" s="28">
        <f>((F77*$E$7)/(1+$E$6))+((F79*(1-$E$7))/(1+$E$6))</f>
        <v>2.9609162077802433</v>
      </c>
      <c r="F78" s="26"/>
      <c r="G78" s="28">
        <f>((H77*$E$7)/(1+$E$6))+((H79*(1-$E$7))/(1+$E$6))</f>
        <v>1.9473490547676207</v>
      </c>
      <c r="H78" s="26"/>
      <c r="I78" s="28">
        <f>((J77*$E$7)/(1+$E$6))+((J79*(1-$E$7))/(1+$E$6))</f>
        <v>0.92127578535365506</v>
      </c>
      <c r="J78" s="26"/>
      <c r="K78" s="28">
        <f>((L77*$E$7)/(1+$E$6))+((L79*(1-$E$7))/(1+$E$6))</f>
        <v>0</v>
      </c>
      <c r="L78" s="26"/>
      <c r="M78" s="28">
        <f>IF(M23&lt;Exercise,Exercise-M23,0)</f>
        <v>0</v>
      </c>
      <c r="N78" s="6"/>
      <c r="O78" s="6"/>
      <c r="P78" s="6"/>
      <c r="Q78" s="6"/>
      <c r="R78" s="6"/>
      <c r="S78" s="6"/>
      <c r="T78" s="6"/>
      <c r="U78" s="6"/>
      <c r="V78" s="6"/>
      <c r="W78" s="6"/>
      <c r="X78" s="6"/>
      <c r="Y78" s="6"/>
      <c r="Z78" s="6"/>
      <c r="AA78" s="6"/>
      <c r="AB78" s="6"/>
      <c r="AC78" s="6"/>
      <c r="AD78" s="6"/>
      <c r="AE78" s="6"/>
      <c r="AF78" s="6"/>
      <c r="AG78" s="6"/>
      <c r="AH78" s="6"/>
      <c r="AI78" s="6"/>
      <c r="AJ78" s="6"/>
      <c r="AK78" s="6"/>
      <c r="AL78" s="6"/>
      <c r="AM78" s="6"/>
    </row>
    <row r="79" spans="1:39" ht="18.75" customHeight="1" x14ac:dyDescent="0.15">
      <c r="A79" s="26"/>
      <c r="B79" s="28">
        <f>((C78*$E$7)/(1+$E$6))+((C80*(1-$E$7))/(1+$E$6))</f>
        <v>6.9750185547879191</v>
      </c>
      <c r="C79" s="26"/>
      <c r="D79" s="28">
        <f>((E78*$E$7)/(1+$E$6))+((E80*(1-$E$7))/(1+$E$6))</f>
        <v>5.8734111193021779</v>
      </c>
      <c r="E79" s="26"/>
      <c r="F79" s="28">
        <f>((G78*$E$7)/(1+$E$6))+((G80*(1-$E$7))/(1+$E$6))</f>
        <v>4.6622525942996322</v>
      </c>
      <c r="G79" s="26"/>
      <c r="H79" s="28">
        <f>((I78*$E$7)/(1+$E$6))+((I80*(1-$E$7))/(1+$E$6))</f>
        <v>3.3112421707565884</v>
      </c>
      <c r="I79" s="26"/>
      <c r="J79" s="28">
        <f>((K78*$E$7)/(1+$E$6))+((K80*(1-$E$7))/(1+$E$6))</f>
        <v>1.7757164179489529</v>
      </c>
      <c r="K79" s="26"/>
      <c r="L79" s="28">
        <f>((M78*$E$7)/(1+$E$6))+((M80*(1-$E$7))/(1+$E$6))</f>
        <v>0</v>
      </c>
      <c r="M79" s="26"/>
      <c r="N79" s="6"/>
      <c r="O79" s="6"/>
      <c r="P79" s="6"/>
      <c r="Q79" s="6"/>
      <c r="R79" s="6"/>
      <c r="S79" s="6"/>
      <c r="T79" s="6"/>
      <c r="U79" s="6"/>
      <c r="V79" s="6"/>
      <c r="W79" s="6"/>
      <c r="X79" s="6"/>
      <c r="Y79" s="6"/>
      <c r="Z79" s="6"/>
      <c r="AA79" s="6"/>
      <c r="AB79" s="6"/>
      <c r="AC79" s="6"/>
      <c r="AD79" s="6"/>
      <c r="AE79" s="6"/>
      <c r="AF79" s="6"/>
      <c r="AG79" s="6"/>
      <c r="AH79" s="6"/>
      <c r="AI79" s="6"/>
      <c r="AJ79" s="6"/>
      <c r="AK79" s="6"/>
      <c r="AL79" s="6"/>
      <c r="AM79" s="6"/>
    </row>
    <row r="80" spans="1:39" ht="18.75" customHeight="1" x14ac:dyDescent="0.15">
      <c r="A80" s="32">
        <f>((B79*$E$7)/(1+$E$6))+((B81*(1-$E$7))/(1+$E$6))</f>
        <v>10.900795127116318</v>
      </c>
      <c r="B80" s="26"/>
      <c r="C80" s="28">
        <f>((D79*$E$7)/(1+$E$6))+((D81*(1-$E$7))/(1+$E$6))</f>
        <v>9.8048389649332002</v>
      </c>
      <c r="D80" s="26"/>
      <c r="E80" s="28">
        <f>((F79*$E$7)/(1+$E$6))+((F81*(1-$E$7))/(1+$E$6))</f>
        <v>8.5815363154672895</v>
      </c>
      <c r="F80" s="26"/>
      <c r="G80" s="28">
        <f>((H79*$E$7)/(1+$E$6))+((H81*(1-$E$7))/(1+$E$6))</f>
        <v>7.1847517689917151</v>
      </c>
      <c r="H80" s="26"/>
      <c r="I80" s="28">
        <f>((J79*$E$7)/(1+$E$6))+((J81*(1-$E$7))/(1+$E$6))</f>
        <v>5.5299787750482858</v>
      </c>
      <c r="J80" s="26"/>
      <c r="K80" s="28">
        <f>((L79*$E$7)/(1+$E$6))+((L81*(1-$E$7))/(1+$E$6))</f>
        <v>3.422611173659619</v>
      </c>
      <c r="L80" s="26"/>
      <c r="M80" s="28">
        <f>IF(M25&lt;Exercise,Exercise-M25,0)</f>
        <v>0</v>
      </c>
      <c r="N80" s="6"/>
      <c r="O80" s="6"/>
      <c r="P80" s="6"/>
      <c r="Q80" s="6"/>
      <c r="R80" s="6"/>
      <c r="S80" s="6"/>
      <c r="T80" s="6"/>
      <c r="U80" s="6"/>
      <c r="V80" s="6"/>
      <c r="W80" s="6"/>
      <c r="X80" s="6"/>
      <c r="Y80" s="6"/>
      <c r="Z80" s="6"/>
      <c r="AA80" s="6"/>
      <c r="AB80" s="6"/>
      <c r="AC80" s="6"/>
      <c r="AD80" s="6"/>
      <c r="AE80" s="6"/>
      <c r="AF80" s="6"/>
      <c r="AG80" s="6"/>
      <c r="AH80" s="6"/>
      <c r="AI80" s="6"/>
      <c r="AJ80" s="6"/>
      <c r="AK80" s="6"/>
      <c r="AL80" s="6"/>
      <c r="AM80" s="6"/>
    </row>
    <row r="81" spans="1:39" ht="18.75" customHeight="1" x14ac:dyDescent="0.15">
      <c r="A81" s="26"/>
      <c r="B81" s="28">
        <f>((C80*$E$7)/(1+$E$6))+((C82*(1-$E$7))/(1+$E$6))</f>
        <v>14.55807495062758</v>
      </c>
      <c r="C81" s="26"/>
      <c r="D81" s="28">
        <f>((E80*$E$7)/(1+$E$6))+((E82*(1-$E$7))/(1+$E$6))</f>
        <v>13.464785118950516</v>
      </c>
      <c r="E81" s="26"/>
      <c r="F81" s="28">
        <f>((G80*$E$7)/(1+$E$6))+((G82*(1-$E$7))/(1+$E$6))</f>
        <v>12.227388321213784</v>
      </c>
      <c r="G81" s="26"/>
      <c r="H81" s="28">
        <f>((I80*$E$7)/(1+$E$6))+((I82*(1-$E$7))/(1+$E$6))</f>
        <v>10.784992461793621</v>
      </c>
      <c r="I81" s="26"/>
      <c r="J81" s="28">
        <f>((K80*$E$7)/(1+$E$6))+((K82*(1-$E$7))/(1+$E$6))</f>
        <v>9.0160339425527862</v>
      </c>
      <c r="K81" s="26"/>
      <c r="L81" s="28">
        <f>((M80*$E$7)/(1+$E$6))+((M82*(1-$E$7))/(1+$E$6))</f>
        <v>6.5969245582525371</v>
      </c>
      <c r="M81" s="26"/>
      <c r="N81" s="6"/>
      <c r="O81" s="6"/>
      <c r="P81" s="6"/>
      <c r="Q81" s="6"/>
      <c r="R81" s="6"/>
      <c r="S81" s="6"/>
      <c r="T81" s="6"/>
      <c r="U81" s="6"/>
      <c r="V81" s="6"/>
      <c r="W81" s="6"/>
      <c r="X81" s="6"/>
      <c r="Y81" s="6"/>
      <c r="Z81" s="6"/>
      <c r="AA81" s="6"/>
      <c r="AB81" s="6"/>
      <c r="AC81" s="6"/>
      <c r="AD81" s="6"/>
      <c r="AE81" s="6"/>
      <c r="AF81" s="6"/>
      <c r="AG81" s="6"/>
      <c r="AH81" s="6"/>
      <c r="AI81" s="6"/>
      <c r="AJ81" s="6"/>
      <c r="AK81" s="6"/>
      <c r="AL81" s="6"/>
      <c r="AM81" s="6"/>
    </row>
    <row r="82" spans="1:39" ht="18.75" customHeight="1" x14ac:dyDescent="0.15">
      <c r="A82" s="26"/>
      <c r="B82" s="26"/>
      <c r="C82" s="28">
        <f>((D81*$E$7)/(1+$E$6))+((D83*(1-$E$7))/(1+$E$6))</f>
        <v>18.989399659024652</v>
      </c>
      <c r="D82" s="26"/>
      <c r="E82" s="28">
        <f>((F81*$E$7)/(1+$E$6))+((F83*(1-$E$7))/(1+$E$6))</f>
        <v>18.013831274236981</v>
      </c>
      <c r="F82" s="26"/>
      <c r="G82" s="28">
        <f>((H81*$E$7)/(1+$E$6))+((H83*(1-$E$7))/(1+$E$6))</f>
        <v>16.920994304610311</v>
      </c>
      <c r="H82" s="26"/>
      <c r="I82" s="28">
        <f>((J81*$E$7)/(1+$E$6))+((J83*(1-$E$7))/(1+$E$6))</f>
        <v>15.671700437228022</v>
      </c>
      <c r="J82" s="26"/>
      <c r="K82" s="28">
        <f>((L81*$E$7)/(1+$E$6))+((L83*(1-$E$7))/(1+$E$6))</f>
        <v>14.211674783729601</v>
      </c>
      <c r="L82" s="26"/>
      <c r="M82" s="28">
        <f>IF(M27&lt;Exercise,Exercise-M27,0)</f>
        <v>12.715266625142931</v>
      </c>
      <c r="N82" s="6"/>
      <c r="O82" s="6"/>
      <c r="P82" s="6"/>
      <c r="Q82" s="6"/>
      <c r="R82" s="6"/>
      <c r="S82" s="6"/>
      <c r="T82" s="6"/>
      <c r="U82" s="6"/>
      <c r="V82" s="6"/>
      <c r="W82" s="6"/>
      <c r="X82" s="6"/>
      <c r="Y82" s="6"/>
      <c r="Z82" s="6"/>
      <c r="AA82" s="6"/>
      <c r="AB82" s="6"/>
      <c r="AC82" s="6"/>
      <c r="AD82" s="6"/>
      <c r="AE82" s="6"/>
      <c r="AF82" s="6"/>
      <c r="AG82" s="6"/>
      <c r="AH82" s="6"/>
      <c r="AI82" s="6"/>
      <c r="AJ82" s="6"/>
      <c r="AK82" s="6"/>
      <c r="AL82" s="6"/>
      <c r="AM82" s="6"/>
    </row>
    <row r="83" spans="1:39" ht="18.75" customHeight="1" x14ac:dyDescent="0.15">
      <c r="A83" s="26"/>
      <c r="B83" s="26"/>
      <c r="C83" s="26"/>
      <c r="D83" s="28">
        <f>((E82*$E$7)/(1+$E$6))+((E84*(1-$E$7))/(1+$E$6))</f>
        <v>24.14469723843159</v>
      </c>
      <c r="E83" s="26"/>
      <c r="F83" s="28">
        <f>((G82*$E$7)/(1+$E$6))+((G84*(1-$E$7))/(1+$E$6))</f>
        <v>23.409070217003034</v>
      </c>
      <c r="G83" s="26"/>
      <c r="H83" s="28">
        <f>((I82*$E$7)/(1+$E$6))+((I84*(1-$E$7))/(1+$E$6))</f>
        <v>22.637061388579699</v>
      </c>
      <c r="I83" s="26"/>
      <c r="J83" s="28">
        <f>((K82*$E$7)/(1+$E$6))+((K84*(1-$E$7))/(1+$E$6))</f>
        <v>21.86559755291827</v>
      </c>
      <c r="K83" s="26"/>
      <c r="L83" s="28">
        <f>((M82*$E$7)/(1+$E$6))+((M84*(1-$E$7))/(1+$E$6))</f>
        <v>21.289423078274993</v>
      </c>
      <c r="M83" s="26"/>
      <c r="N83" s="6"/>
      <c r="O83" s="6"/>
      <c r="P83" s="6"/>
      <c r="Q83" s="6"/>
      <c r="R83" s="6"/>
      <c r="S83" s="6"/>
      <c r="T83" s="6"/>
      <c r="U83" s="6"/>
      <c r="V83" s="6"/>
      <c r="W83" s="6"/>
      <c r="X83" s="6"/>
      <c r="Y83" s="6"/>
      <c r="Z83" s="6"/>
      <c r="AA83" s="6"/>
      <c r="AB83" s="6"/>
      <c r="AC83" s="6"/>
      <c r="AD83" s="6"/>
      <c r="AE83" s="6"/>
      <c r="AF83" s="6"/>
      <c r="AG83" s="6"/>
      <c r="AH83" s="6"/>
      <c r="AI83" s="6"/>
      <c r="AJ83" s="6"/>
      <c r="AK83" s="6"/>
      <c r="AL83" s="6"/>
      <c r="AM83" s="6"/>
    </row>
    <row r="84" spans="1:39" ht="18.75" customHeight="1" x14ac:dyDescent="0.15">
      <c r="A84" s="26"/>
      <c r="B84" s="26"/>
      <c r="C84" s="26"/>
      <c r="D84" s="26"/>
      <c r="E84" s="28">
        <f>((F83*$E$7)/(1+$E$6))+((F85*(1-$E$7))/(1+$E$6))</f>
        <v>29.872898157587919</v>
      </c>
      <c r="F84" s="26"/>
      <c r="G84" s="28">
        <f>((H83*$E$7)/(1+$E$6))+((H85*(1-$E$7))/(1+$E$6))</f>
        <v>29.466012359840668</v>
      </c>
      <c r="H84" s="26"/>
      <c r="I84" s="28">
        <f>((J83*$E$7)/(1+$E$6))+((J85*(1-$E$7))/(1+$E$6))</f>
        <v>29.133743130068723</v>
      </c>
      <c r="J84" s="26"/>
      <c r="K84" s="28">
        <f>((L83*$E$7)/(1+$E$6))+((L85*(1-$E$7))/(1+$E$6))</f>
        <v>28.997475745392663</v>
      </c>
      <c r="L84" s="26"/>
      <c r="M84" s="28">
        <f>IF(M29&lt;Exercise,Exercise-M29,0)</f>
        <v>29.271277607656828</v>
      </c>
      <c r="N84" s="6"/>
      <c r="O84" s="6"/>
      <c r="P84" s="6"/>
      <c r="Q84" s="6"/>
      <c r="R84" s="6"/>
      <c r="S84" s="6"/>
      <c r="T84" s="6"/>
      <c r="U84" s="6"/>
      <c r="V84" s="6"/>
      <c r="W84" s="6"/>
      <c r="X84" s="6"/>
      <c r="Y84" s="6"/>
      <c r="Z84" s="6"/>
      <c r="AA84" s="6"/>
      <c r="AB84" s="6"/>
      <c r="AC84" s="6"/>
      <c r="AD84" s="6"/>
      <c r="AE84" s="6"/>
      <c r="AF84" s="6"/>
      <c r="AG84" s="6"/>
      <c r="AH84" s="6"/>
      <c r="AI84" s="6"/>
      <c r="AJ84" s="6"/>
      <c r="AK84" s="6"/>
      <c r="AL84" s="6"/>
      <c r="AM84" s="6"/>
    </row>
    <row r="85" spans="1:39" ht="18.75" customHeight="1" x14ac:dyDescent="0.15">
      <c r="A85" s="26"/>
      <c r="B85" s="26"/>
      <c r="C85" s="26"/>
      <c r="D85" s="26"/>
      <c r="E85" s="26"/>
      <c r="F85" s="28">
        <f>((G84*$E$7)/(1+$E$6))+((G86*(1-$E$7))/(1+$E$6))</f>
        <v>35.92251705016082</v>
      </c>
      <c r="G85" s="26"/>
      <c r="H85" s="28">
        <f>((I84*$E$7)/(1+$E$6))+((I86*(1-$E$7))/(1+$E$6))</f>
        <v>35.852461416779789</v>
      </c>
      <c r="I85" s="26"/>
      <c r="J85" s="28">
        <f>((K84*$E$7)/(1+$E$6))+((K86*(1-$E$7))/(1+$E$6))</f>
        <v>35.925721581508171</v>
      </c>
      <c r="K85" s="26"/>
      <c r="L85" s="28">
        <f>((M84*$E$7)/(1+$E$6))+((M86*(1-$E$7))/(1+$E$6))</f>
        <v>36.196100868481047</v>
      </c>
      <c r="M85" s="26"/>
      <c r="N85" s="6"/>
      <c r="O85" s="6"/>
      <c r="P85" s="6"/>
      <c r="Q85" s="6"/>
      <c r="R85" s="6"/>
      <c r="S85" s="6"/>
      <c r="T85" s="6"/>
      <c r="U85" s="6"/>
      <c r="V85" s="6"/>
      <c r="W85" s="6"/>
      <c r="X85" s="6"/>
      <c r="Y85" s="6"/>
      <c r="Z85" s="6"/>
      <c r="AA85" s="6"/>
      <c r="AB85" s="6"/>
      <c r="AC85" s="6"/>
      <c r="AD85" s="6"/>
      <c r="AE85" s="6"/>
      <c r="AF85" s="6"/>
      <c r="AG85" s="6"/>
      <c r="AH85" s="6"/>
      <c r="AI85" s="6"/>
      <c r="AJ85" s="6"/>
      <c r="AK85" s="6"/>
      <c r="AL85" s="6"/>
      <c r="AM85" s="6"/>
    </row>
    <row r="86" spans="1:39" ht="18.75" customHeight="1" x14ac:dyDescent="0.15">
      <c r="A86" s="26"/>
      <c r="B86" s="26"/>
      <c r="C86" s="26"/>
      <c r="D86" s="26"/>
      <c r="E86" s="26"/>
      <c r="F86" s="26"/>
      <c r="G86" s="28">
        <f>((H85*$E$7)/(1+$E$6))+((H87*(1-$E$7))/(1+$E$6))</f>
        <v>41.979501829892314</v>
      </c>
      <c r="H86" s="26"/>
      <c r="I86" s="28">
        <f>((J85*$E$7)/(1+$E$6))+((J87*(1-$E$7))/(1+$E$6))</f>
        <v>42.151860499566695</v>
      </c>
      <c r="J86" s="26"/>
      <c r="K86" s="28">
        <f>((L85*$E$7)/(1+$E$6))+((L87*(1-$E$7))/(1+$E$6))</f>
        <v>42.41912924488085</v>
      </c>
      <c r="L86" s="26"/>
      <c r="M86" s="28">
        <f>IF(M31&lt;Exercise,Exercise-M31,0)</f>
        <v>42.686974252771627</v>
      </c>
      <c r="N86" s="6"/>
      <c r="O86" s="6"/>
      <c r="P86" s="6"/>
      <c r="Q86" s="6"/>
      <c r="R86" s="6"/>
      <c r="S86" s="6"/>
      <c r="T86" s="6"/>
      <c r="U86" s="6"/>
      <c r="V86" s="6"/>
      <c r="W86" s="6"/>
      <c r="X86" s="6"/>
      <c r="Y86" s="6"/>
      <c r="Z86" s="6"/>
      <c r="AA86" s="6"/>
      <c r="AB86" s="6"/>
      <c r="AC86" s="6"/>
      <c r="AD86" s="6"/>
      <c r="AE86" s="6"/>
      <c r="AF86" s="6"/>
      <c r="AG86" s="6"/>
      <c r="AH86" s="6"/>
      <c r="AI86" s="6"/>
      <c r="AJ86" s="6"/>
      <c r="AK86" s="6"/>
      <c r="AL86" s="6"/>
      <c r="AM86" s="6"/>
    </row>
    <row r="87" spans="1:39" ht="18.75" customHeight="1" x14ac:dyDescent="0.15">
      <c r="A87" s="26"/>
      <c r="B87" s="26"/>
      <c r="C87" s="26"/>
      <c r="D87" s="26"/>
      <c r="E87" s="26"/>
      <c r="F87" s="26"/>
      <c r="G87" s="26"/>
      <c r="H87" s="28">
        <f>((I86*$E$7)/(1+$E$6))+((I88*(1-$E$7))/(1+$E$6))</f>
        <v>47.745851819937926</v>
      </c>
      <c r="I87" s="26"/>
      <c r="J87" s="28">
        <f>((K86*$E$7)/(1+$E$6))+((K88*(1-$E$7))/(1+$E$6))</f>
        <v>48.010291007076574</v>
      </c>
      <c r="K87" s="26"/>
      <c r="L87" s="28">
        <f>((M86*$E$7)/(1+$E$6))+((M88*(1-$E$7))/(1+$E$6))</f>
        <v>48.275306869920229</v>
      </c>
      <c r="M87" s="26"/>
      <c r="N87" s="6"/>
      <c r="O87" s="6"/>
      <c r="P87" s="6"/>
      <c r="Q87" s="6"/>
      <c r="R87" s="6"/>
      <c r="S87" s="6"/>
      <c r="T87" s="6"/>
      <c r="U87" s="6"/>
      <c r="V87" s="6"/>
      <c r="W87" s="6"/>
      <c r="X87" s="6"/>
      <c r="Y87" s="6"/>
      <c r="Z87" s="6"/>
      <c r="AA87" s="6"/>
      <c r="AB87" s="6"/>
      <c r="AC87" s="6"/>
      <c r="AD87" s="6"/>
      <c r="AE87" s="6"/>
      <c r="AF87" s="6"/>
      <c r="AG87" s="6"/>
      <c r="AH87" s="6"/>
      <c r="AI87" s="6"/>
      <c r="AJ87" s="6"/>
      <c r="AK87" s="6"/>
      <c r="AL87" s="6"/>
      <c r="AM87" s="6"/>
    </row>
    <row r="88" spans="1:39" ht="18.75" customHeight="1" x14ac:dyDescent="0.15">
      <c r="A88" s="26"/>
      <c r="B88" s="26"/>
      <c r="C88" s="26"/>
      <c r="D88" s="26"/>
      <c r="E88" s="26"/>
      <c r="F88" s="26"/>
      <c r="G88" s="26"/>
      <c r="H88" s="26"/>
      <c r="I88" s="28">
        <f>((J87*$E$7)/(1+$E$6))+((J89*(1-$E$7))/(1+$E$6))</f>
        <v>53.032548054714155</v>
      </c>
      <c r="J88" s="26"/>
      <c r="K88" s="28">
        <f>((L87*$E$7)/(1+$E$6))+((L89*(1-$E$7))/(1+$E$6))</f>
        <v>53.294987687784371</v>
      </c>
      <c r="L88" s="26"/>
      <c r="M88" s="28">
        <f>IF(M33&lt;Exercise,Exercise-M33,0)</f>
        <v>53.558005726708011</v>
      </c>
      <c r="N88" s="6"/>
      <c r="O88" s="6"/>
      <c r="P88" s="6"/>
      <c r="Q88" s="6"/>
      <c r="R88" s="6"/>
      <c r="S88" s="6"/>
      <c r="T88" s="6"/>
      <c r="U88" s="6"/>
      <c r="V88" s="6"/>
      <c r="W88" s="6"/>
      <c r="X88" s="6"/>
      <c r="Y88" s="6"/>
      <c r="Z88" s="6"/>
      <c r="AA88" s="6"/>
      <c r="AB88" s="6"/>
      <c r="AC88" s="6"/>
      <c r="AD88" s="6"/>
      <c r="AE88" s="6"/>
      <c r="AF88" s="6"/>
      <c r="AG88" s="6"/>
      <c r="AH88" s="6"/>
      <c r="AI88" s="6"/>
      <c r="AJ88" s="6"/>
      <c r="AK88" s="6"/>
      <c r="AL88" s="6"/>
      <c r="AM88" s="6"/>
    </row>
    <row r="89" spans="1:39" ht="18.75" customHeight="1" x14ac:dyDescent="0.15">
      <c r="A89" s="26"/>
      <c r="B89" s="26"/>
      <c r="C89" s="26"/>
      <c r="D89" s="26"/>
      <c r="E89" s="26"/>
      <c r="F89" s="26"/>
      <c r="G89" s="26"/>
      <c r="H89" s="26"/>
      <c r="I89" s="26"/>
      <c r="J89" s="28">
        <f>((K88*$E$7)/(1+$E$6))+((K90*(1-$E$7))/(1+$E$6))</f>
        <v>57.802681074435526</v>
      </c>
      <c r="K89" s="26"/>
      <c r="L89" s="28">
        <f>((M88*$E$7)/(1+$E$6))+((M90*(1-$E$7))/(1+$E$6))</f>
        <v>58.063350837776554</v>
      </c>
      <c r="M89" s="26"/>
      <c r="N89" s="6"/>
      <c r="O89" s="6"/>
      <c r="P89" s="6"/>
      <c r="Q89" s="6"/>
      <c r="R89" s="6"/>
      <c r="S89" s="6"/>
      <c r="T89" s="6"/>
      <c r="U89" s="6"/>
      <c r="V89" s="6"/>
      <c r="W89" s="6"/>
      <c r="X89" s="6"/>
      <c r="Y89" s="6"/>
      <c r="Z89" s="6"/>
      <c r="AA89" s="6"/>
      <c r="AB89" s="6"/>
      <c r="AC89" s="6"/>
      <c r="AD89" s="6"/>
      <c r="AE89" s="6"/>
      <c r="AF89" s="6"/>
      <c r="AG89" s="6"/>
      <c r="AH89" s="6"/>
      <c r="AI89" s="6"/>
      <c r="AJ89" s="6"/>
      <c r="AK89" s="6"/>
      <c r="AL89" s="6"/>
      <c r="AM89" s="6"/>
    </row>
    <row r="90" spans="1:39" ht="18.75" customHeight="1" x14ac:dyDescent="0.15">
      <c r="A90" s="26"/>
      <c r="B90" s="26"/>
      <c r="C90" s="26"/>
      <c r="D90" s="26"/>
      <c r="E90" s="26"/>
      <c r="F90" s="26"/>
      <c r="G90" s="26"/>
      <c r="H90" s="26"/>
      <c r="I90" s="26"/>
      <c r="J90" s="26"/>
      <c r="K90" s="28">
        <f>((L89*$E$7)/(1+$E$6))+((L91*(1-$E$7))/(1+$E$6))</f>
        <v>62.107932894169423</v>
      </c>
      <c r="L90" s="26"/>
      <c r="M90" s="28">
        <f>IF(M35&lt;Exercise,Exercise-M35,0)</f>
        <v>62.367039534903775</v>
      </c>
      <c r="N90" s="6"/>
      <c r="O90" s="6"/>
      <c r="P90" s="6"/>
      <c r="Q90" s="6"/>
      <c r="R90" s="6"/>
      <c r="S90" s="6"/>
      <c r="T90" s="6"/>
      <c r="U90" s="6"/>
      <c r="V90" s="6"/>
      <c r="W90" s="6"/>
      <c r="X90" s="6"/>
      <c r="Y90" s="6"/>
      <c r="Z90" s="6"/>
      <c r="AA90" s="6"/>
      <c r="AB90" s="6"/>
      <c r="AC90" s="6"/>
      <c r="AD90" s="6"/>
      <c r="AE90" s="6"/>
      <c r="AF90" s="6"/>
      <c r="AG90" s="6"/>
      <c r="AH90" s="6"/>
      <c r="AI90" s="6"/>
      <c r="AJ90" s="6"/>
      <c r="AK90" s="6"/>
      <c r="AL90" s="6"/>
      <c r="AM90" s="6"/>
    </row>
    <row r="91" spans="1:39" ht="18.75" customHeight="1" x14ac:dyDescent="0.15">
      <c r="A91" s="26"/>
      <c r="B91" s="26"/>
      <c r="C91" s="26"/>
      <c r="D91" s="26"/>
      <c r="E91" s="26"/>
      <c r="F91" s="26"/>
      <c r="G91" s="26"/>
      <c r="H91" s="26"/>
      <c r="I91" s="26"/>
      <c r="J91" s="26"/>
      <c r="K91" s="26"/>
      <c r="L91" s="28">
        <f>((M90*$E$7)/(1+$E$6))+((M92*(1-$E$7))/(1+$E$6))</f>
        <v>65.994816259036327</v>
      </c>
      <c r="M91" s="26"/>
      <c r="N91" s="6"/>
      <c r="O91" s="6"/>
      <c r="P91" s="6"/>
      <c r="Q91" s="6"/>
      <c r="R91" s="6"/>
      <c r="S91" s="6"/>
      <c r="T91" s="6"/>
      <c r="U91" s="6"/>
      <c r="V91" s="6"/>
      <c r="W91" s="6"/>
      <c r="X91" s="6"/>
      <c r="Y91" s="6"/>
      <c r="Z91" s="6"/>
      <c r="AA91" s="6"/>
      <c r="AB91" s="6"/>
      <c r="AC91" s="6"/>
      <c r="AD91" s="6"/>
      <c r="AE91" s="6"/>
      <c r="AF91" s="6"/>
      <c r="AG91" s="6"/>
      <c r="AH91" s="6"/>
      <c r="AI91" s="6"/>
      <c r="AJ91" s="6"/>
      <c r="AK91" s="6"/>
      <c r="AL91" s="6"/>
      <c r="AM91" s="6"/>
    </row>
    <row r="92" spans="1:39" ht="18.75" customHeight="1" x14ac:dyDescent="0.15">
      <c r="A92" s="26"/>
      <c r="B92" s="26"/>
      <c r="C92" s="26"/>
      <c r="D92" s="26"/>
      <c r="E92" s="26"/>
      <c r="F92" s="26"/>
      <c r="G92" s="26"/>
      <c r="H92" s="26"/>
      <c r="I92" s="26"/>
      <c r="J92" s="26"/>
      <c r="K92" s="26"/>
      <c r="L92" s="26"/>
      <c r="M92" s="28">
        <f>IF(M37&lt;Exercise,Exercise-M37,0)</f>
        <v>69.505191679894097</v>
      </c>
      <c r="N92" s="6"/>
      <c r="O92" s="6"/>
      <c r="P92" s="6"/>
      <c r="Q92" s="6"/>
      <c r="R92" s="6"/>
      <c r="S92" s="6"/>
      <c r="T92" s="6"/>
      <c r="U92" s="6"/>
      <c r="V92" s="6"/>
      <c r="W92" s="6"/>
      <c r="X92" s="6"/>
      <c r="Y92" s="6"/>
      <c r="Z92" s="6"/>
      <c r="AA92" s="6"/>
      <c r="AB92" s="6"/>
      <c r="AC92" s="6"/>
      <c r="AD92" s="6"/>
      <c r="AE92" s="6"/>
      <c r="AF92" s="6"/>
      <c r="AG92" s="6"/>
      <c r="AH92" s="6"/>
      <c r="AI92" s="6"/>
      <c r="AJ92" s="6"/>
      <c r="AK92" s="6"/>
      <c r="AL92" s="6"/>
      <c r="AM92" s="6"/>
    </row>
    <row r="93" spans="1:39" ht="18.75" customHeight="1" x14ac:dyDescent="0.15">
      <c r="A93" s="6"/>
      <c r="B93" s="6"/>
      <c r="C93" s="6"/>
      <c r="D93" s="6"/>
      <c r="E93" s="6"/>
      <c r="F93" s="6"/>
      <c r="G93" s="6"/>
      <c r="H93" s="6"/>
      <c r="I93" s="6"/>
      <c r="J93" s="6"/>
      <c r="K93" s="6"/>
      <c r="L93" s="6"/>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6"/>
    </row>
    <row r="94" spans="1:39" ht="18.75" customHeight="1" x14ac:dyDescent="0.15">
      <c r="A94" s="6"/>
      <c r="B94" s="6"/>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row>
    <row r="95" spans="1:39" ht="18.75" customHeight="1" x14ac:dyDescent="0.15">
      <c r="A95" s="6"/>
      <c r="B95" s="6"/>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row>
    <row r="96" spans="1:39" ht="18.75" customHeight="1" x14ac:dyDescent="0.15">
      <c r="A96" s="6"/>
      <c r="B96" s="6"/>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row>
    <row r="97" spans="1:40" ht="18.75" customHeight="1" x14ac:dyDescent="0.15">
      <c r="A97" s="6"/>
      <c r="B97" s="6"/>
      <c r="C97" s="6"/>
      <c r="D97" s="6"/>
      <c r="E97" s="6"/>
      <c r="F97" s="6"/>
      <c r="G97" s="6"/>
      <c r="H97" s="6"/>
      <c r="I97" s="6"/>
      <c r="J97" s="6"/>
      <c r="K97" s="6"/>
      <c r="L97" s="6"/>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6"/>
      <c r="AN97" s="6"/>
    </row>
    <row r="98" spans="1:40" ht="18.75" customHeight="1" x14ac:dyDescent="0.15">
      <c r="A98" s="6"/>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row>
    <row r="99" spans="1:40" ht="18.75" customHeight="1" x14ac:dyDescent="0.15">
      <c r="A99" s="6"/>
      <c r="B99" s="6"/>
      <c r="C99" s="6"/>
      <c r="D99" s="6"/>
      <c r="E99" s="6"/>
      <c r="F99" s="6"/>
      <c r="G99" s="6"/>
      <c r="H99" s="6"/>
      <c r="I99" s="6"/>
      <c r="J99" s="6"/>
      <c r="K99" s="6"/>
      <c r="L99" s="6"/>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6"/>
      <c r="AN99" s="6"/>
    </row>
    <row r="100" spans="1:40" ht="18.75" customHeight="1" x14ac:dyDescent="0.15">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6"/>
      <c r="AN100" s="6"/>
    </row>
    <row r="101" spans="1:40" ht="18.75" customHeight="1" x14ac:dyDescent="0.15">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6"/>
      <c r="AN101" s="6"/>
    </row>
    <row r="102" spans="1:40" ht="18.75" customHeight="1" x14ac:dyDescent="0.15">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6"/>
      <c r="AN102" s="6"/>
    </row>
    <row r="103" spans="1:40" ht="18.75" customHeight="1" x14ac:dyDescent="0.15">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6"/>
      <c r="AN103" s="6"/>
    </row>
    <row r="104" spans="1:40" ht="18.75" customHeight="1" x14ac:dyDescent="0.15">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6"/>
      <c r="AN104" s="6"/>
    </row>
    <row r="105" spans="1:40" ht="18.75" customHeight="1" x14ac:dyDescent="0.15">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6"/>
      <c r="AN105" s="6"/>
    </row>
    <row r="106" spans="1:40" ht="18.75" customHeight="1" x14ac:dyDescent="0.15">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6"/>
      <c r="AN106" s="6"/>
    </row>
    <row r="107" spans="1:40" ht="18.75" customHeight="1" x14ac:dyDescent="0.15">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6"/>
      <c r="AN107" s="6"/>
    </row>
    <row r="108" spans="1:40" ht="18.75" customHeight="1" x14ac:dyDescent="0.15">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6"/>
      <c r="AN108" s="6"/>
    </row>
    <row r="109" spans="1:40" ht="18.75" customHeight="1" x14ac:dyDescent="0.15">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6"/>
      <c r="AN109" s="6"/>
    </row>
    <row r="110" spans="1:40" ht="18.75" customHeight="1" x14ac:dyDescent="0.15">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6"/>
      <c r="AN110" s="6"/>
    </row>
    <row r="111" spans="1:40" ht="18.75" customHeight="1" x14ac:dyDescent="0.15">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6"/>
      <c r="AN111" s="6"/>
    </row>
    <row r="112" spans="1:40" ht="18.75" customHeight="1" x14ac:dyDescent="0.15">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6"/>
      <c r="AN112" s="6"/>
    </row>
    <row r="113" spans="1:40" ht="18.75" customHeight="1" x14ac:dyDescent="0.15">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6"/>
      <c r="AN113" s="6"/>
    </row>
    <row r="114" spans="1:40" ht="18.75" customHeight="1" x14ac:dyDescent="0.15">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6"/>
      <c r="AN114" s="6"/>
    </row>
    <row r="115" spans="1:40" ht="18.75" customHeight="1" x14ac:dyDescent="0.15">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6"/>
      <c r="AN115" s="6"/>
    </row>
    <row r="116" spans="1:40" ht="18.75" customHeight="1" x14ac:dyDescent="0.15">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6"/>
      <c r="AN116" s="6"/>
    </row>
    <row r="117" spans="1:40" ht="18.75" customHeight="1" x14ac:dyDescent="0.15">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6"/>
      <c r="AN117" s="6"/>
    </row>
    <row r="118" spans="1:40" ht="18.75" customHeight="1" x14ac:dyDescent="0.15">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6"/>
      <c r="AN118" s="6"/>
    </row>
    <row r="119" spans="1:40" ht="18.75" customHeight="1" x14ac:dyDescent="0.15">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6"/>
      <c r="AN119" s="6"/>
    </row>
    <row r="120" spans="1:40" ht="18.75" customHeight="1" x14ac:dyDescent="0.15">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6"/>
      <c r="AN120" s="6"/>
    </row>
    <row r="121" spans="1:40" ht="18.75" customHeight="1" x14ac:dyDescent="0.15">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6"/>
      <c r="AN121" s="6"/>
    </row>
    <row r="122" spans="1:40" ht="18.75" customHeight="1" x14ac:dyDescent="0.15">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6"/>
      <c r="AN122" s="6"/>
    </row>
    <row r="123" spans="1:40" ht="18.75" customHeight="1" x14ac:dyDescent="0.15">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6"/>
      <c r="AN123" s="6"/>
    </row>
    <row r="124" spans="1:40" ht="18.75" customHeight="1" x14ac:dyDescent="0.15">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6"/>
      <c r="AN124" s="6"/>
    </row>
    <row r="125" spans="1:40" ht="18.75" customHeight="1" x14ac:dyDescent="0.15">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6"/>
      <c r="AN125" s="6"/>
    </row>
    <row r="126" spans="1:40" ht="18.75" customHeight="1" x14ac:dyDescent="0.15">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6"/>
      <c r="AN126" s="6"/>
    </row>
    <row r="127" spans="1:40" ht="18.75" customHeight="1" x14ac:dyDescent="0.15">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6"/>
      <c r="AN127" s="6"/>
    </row>
    <row r="128" spans="1:40" ht="18.75" customHeight="1" x14ac:dyDescent="0.15">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6"/>
      <c r="AN128" s="6"/>
    </row>
    <row r="129" spans="1:40" ht="18.75" customHeight="1" x14ac:dyDescent="0.15">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6"/>
      <c r="AN129" s="6"/>
    </row>
    <row r="130" spans="1:40" ht="18.75" customHeight="1" x14ac:dyDescent="0.15">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6"/>
      <c r="AN130" s="6"/>
    </row>
    <row r="131" spans="1:40" ht="18.75" customHeight="1" x14ac:dyDescent="0.15">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6"/>
      <c r="AN131" s="6"/>
    </row>
    <row r="132" spans="1:40" ht="18.75" customHeight="1" x14ac:dyDescent="0.15">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6"/>
      <c r="AN132" s="6"/>
    </row>
    <row r="133" spans="1:40" ht="18.75" customHeight="1" x14ac:dyDescent="0.15">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6"/>
      <c r="AN133" s="6"/>
    </row>
    <row r="134" spans="1:40" ht="18.75" customHeight="1" x14ac:dyDescent="0.15">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6"/>
      <c r="AN134" s="6"/>
    </row>
    <row r="135" spans="1:40" ht="18.75" customHeight="1" x14ac:dyDescent="0.15">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6"/>
      <c r="AN135" s="6"/>
    </row>
    <row r="136" spans="1:40" ht="18.75" customHeight="1" x14ac:dyDescent="0.15">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6"/>
      <c r="AN136" s="6"/>
    </row>
    <row r="137" spans="1:40" ht="18.75" customHeight="1" x14ac:dyDescent="0.15">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6"/>
      <c r="AN137" s="6"/>
    </row>
    <row r="138" spans="1:40" ht="18.75" customHeight="1" x14ac:dyDescent="0.15">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6"/>
      <c r="AN138" s="6"/>
    </row>
    <row r="139" spans="1:40" ht="18.75" customHeight="1" x14ac:dyDescent="0.15">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6"/>
      <c r="AN139" s="6"/>
    </row>
    <row r="140" spans="1:40" ht="18.75" customHeight="1" x14ac:dyDescent="0.15">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6"/>
      <c r="AN140" s="6"/>
    </row>
    <row r="141" spans="1:40" ht="18.75" customHeight="1" x14ac:dyDescent="0.15">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6"/>
      <c r="AN141" s="6"/>
    </row>
    <row r="142" spans="1:40" ht="18.75" customHeight="1" x14ac:dyDescent="0.15">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6"/>
      <c r="AN142" s="6"/>
    </row>
    <row r="143" spans="1:40" ht="18.75" customHeight="1" x14ac:dyDescent="0.15">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6"/>
      <c r="AN143" s="6"/>
    </row>
    <row r="144" spans="1:40" ht="18.75" customHeight="1" x14ac:dyDescent="0.15">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6"/>
      <c r="AN144" s="6"/>
    </row>
    <row r="145" spans="1:40" ht="18.75" customHeight="1" x14ac:dyDescent="0.15">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6"/>
      <c r="AN145" s="6"/>
    </row>
    <row r="146" spans="1:40" ht="18.75" customHeight="1" x14ac:dyDescent="0.15">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6"/>
      <c r="AN146" s="6"/>
    </row>
    <row r="147" spans="1:40" ht="18.75" customHeight="1" x14ac:dyDescent="0.15">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6"/>
      <c r="AN147" s="6"/>
    </row>
    <row r="148" spans="1:40" ht="18.75" customHeight="1" x14ac:dyDescent="0.15">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6"/>
      <c r="AN148" s="6"/>
    </row>
    <row r="149" spans="1:40" ht="18.75" customHeight="1" x14ac:dyDescent="0.15">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6"/>
      <c r="AN149" s="6"/>
    </row>
    <row r="150" spans="1:40" ht="18.75" customHeight="1" x14ac:dyDescent="0.15">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6"/>
      <c r="AN150" s="6"/>
    </row>
    <row r="151" spans="1:40" ht="18.75" customHeight="1" x14ac:dyDescent="0.15">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6"/>
      <c r="AN151" s="6"/>
    </row>
    <row r="152" spans="1:40" ht="18.75" customHeight="1" x14ac:dyDescent="0.15">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6"/>
      <c r="AN152" s="6"/>
    </row>
    <row r="153" spans="1:40" ht="18.75" customHeight="1" x14ac:dyDescent="0.15">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6"/>
      <c r="AN153" s="6"/>
    </row>
    <row r="154" spans="1:40" ht="18.75" customHeight="1" x14ac:dyDescent="0.15">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6"/>
      <c r="AN154" s="6"/>
    </row>
    <row r="155" spans="1:40" ht="18.75" customHeight="1" x14ac:dyDescent="0.15">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6"/>
      <c r="AN155" s="6"/>
    </row>
    <row r="156" spans="1:40" ht="18.75" customHeight="1" x14ac:dyDescent="0.15">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6"/>
      <c r="AN156" s="6"/>
    </row>
    <row r="157" spans="1:40" ht="18.75" customHeight="1" x14ac:dyDescent="0.15">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6"/>
      <c r="AN157" s="6"/>
    </row>
    <row r="158" spans="1:40" ht="18.75" customHeight="1" x14ac:dyDescent="0.15">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6"/>
      <c r="AN158" s="6"/>
    </row>
    <row r="159" spans="1:40" ht="18.75" customHeight="1" x14ac:dyDescent="0.15">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6"/>
      <c r="AN159" s="6"/>
    </row>
    <row r="160" spans="1:40" ht="18.75" customHeight="1" x14ac:dyDescent="0.15">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6"/>
      <c r="AN160" s="6"/>
    </row>
    <row r="161" spans="1:40" ht="18.75" customHeight="1" x14ac:dyDescent="0.15">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6"/>
      <c r="AN161" s="6"/>
    </row>
    <row r="162" spans="1:40" ht="18.75" customHeight="1" x14ac:dyDescent="0.15">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6"/>
      <c r="AN162" s="6"/>
    </row>
    <row r="163" spans="1:40" ht="18.75" customHeight="1" x14ac:dyDescent="0.15">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6"/>
      <c r="AN163" s="6"/>
    </row>
    <row r="164" spans="1:40" ht="18.75" customHeight="1" x14ac:dyDescent="0.15">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6"/>
      <c r="AN164" s="6"/>
    </row>
    <row r="165" spans="1:40" ht="18.75" customHeight="1" x14ac:dyDescent="0.15">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6"/>
      <c r="AN165" s="6"/>
    </row>
    <row r="166" spans="1:40" ht="18.75" customHeight="1" x14ac:dyDescent="0.15">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6"/>
      <c r="AN166" s="6"/>
    </row>
    <row r="167" spans="1:40" ht="18.75" customHeight="1" x14ac:dyDescent="0.15">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6"/>
      <c r="AN167" s="6"/>
    </row>
    <row r="168" spans="1:40" ht="18.75" customHeight="1" x14ac:dyDescent="0.15">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6"/>
      <c r="AN168" s="6"/>
    </row>
    <row r="169" spans="1:40" ht="18.75" customHeight="1" x14ac:dyDescent="0.15">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6"/>
      <c r="AN169" s="6"/>
    </row>
    <row r="170" spans="1:40" ht="18.75" customHeight="1" x14ac:dyDescent="0.15">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6"/>
      <c r="AN170" s="6"/>
    </row>
    <row r="171" spans="1:40" ht="18.75" customHeight="1" x14ac:dyDescent="0.15">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6"/>
      <c r="AN171" s="6"/>
    </row>
    <row r="172" spans="1:40" ht="18.75" customHeight="1" x14ac:dyDescent="0.15">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6"/>
      <c r="AN172" s="6"/>
    </row>
    <row r="173" spans="1:40" ht="18.75" customHeight="1" x14ac:dyDescent="0.15">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6"/>
      <c r="AN173" s="6"/>
    </row>
    <row r="174" spans="1:40" ht="18.75" customHeight="1" x14ac:dyDescent="0.15">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6"/>
      <c r="AN174" s="6"/>
    </row>
    <row r="175" spans="1:40" ht="18.75" customHeight="1" x14ac:dyDescent="0.15">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6"/>
      <c r="AN175" s="6"/>
    </row>
    <row r="176" spans="1:40" ht="18.75" customHeight="1" x14ac:dyDescent="0.15">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6"/>
      <c r="AN176" s="6"/>
    </row>
    <row r="177" spans="1:40" ht="18.75" customHeight="1" x14ac:dyDescent="0.15">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6"/>
      <c r="AN177" s="6"/>
    </row>
    <row r="178" spans="1:40" ht="18.75" customHeight="1" x14ac:dyDescent="0.15">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6"/>
      <c r="AN178" s="6"/>
    </row>
    <row r="179" spans="1:40" ht="18.75" customHeight="1" x14ac:dyDescent="0.15">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6"/>
      <c r="AN179" s="6"/>
    </row>
    <row r="180" spans="1:40" ht="18.75" customHeight="1" x14ac:dyDescent="0.15">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6"/>
      <c r="AN180" s="6"/>
    </row>
    <row r="181" spans="1:40" ht="18.75" customHeight="1" x14ac:dyDescent="0.15">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6"/>
      <c r="AN181" s="6"/>
    </row>
    <row r="182" spans="1:40" ht="18.75" customHeight="1" x14ac:dyDescent="0.15">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6"/>
      <c r="AN182" s="6"/>
    </row>
    <row r="183" spans="1:40" ht="18.75" customHeight="1" x14ac:dyDescent="0.15">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6"/>
      <c r="AN183" s="6"/>
    </row>
    <row r="184" spans="1:40" ht="18.75" customHeight="1" x14ac:dyDescent="0.15">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6"/>
      <c r="AN184" s="6"/>
    </row>
    <row r="185" spans="1:40" ht="18.75" customHeight="1" x14ac:dyDescent="0.15">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6"/>
      <c r="AN185" s="6"/>
    </row>
    <row r="186" spans="1:40" ht="18.75" customHeight="1" x14ac:dyDescent="0.15">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6"/>
      <c r="AN186" s="6"/>
    </row>
    <row r="187" spans="1:40" ht="18.75" customHeight="1" x14ac:dyDescent="0.15">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6"/>
      <c r="AN187" s="6"/>
    </row>
    <row r="188" spans="1:40" ht="18.75" customHeight="1" x14ac:dyDescent="0.15">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6"/>
      <c r="AN188" s="6"/>
    </row>
    <row r="189" spans="1:40" ht="18.75" customHeight="1" x14ac:dyDescent="0.15">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6"/>
      <c r="AN189" s="6"/>
    </row>
    <row r="190" spans="1:40" ht="18.75" customHeight="1" x14ac:dyDescent="0.15">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6"/>
      <c r="AN190" s="6"/>
    </row>
    <row r="191" spans="1:40" ht="18.75" customHeight="1" x14ac:dyDescent="0.15">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6"/>
      <c r="AN191" s="6"/>
    </row>
    <row r="192" spans="1:40" ht="18.75" customHeight="1" x14ac:dyDescent="0.15">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6"/>
      <c r="AN192" s="6"/>
    </row>
    <row r="193" spans="1:40" ht="18.75" customHeight="1" x14ac:dyDescent="0.15">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6"/>
      <c r="AN193" s="6"/>
    </row>
    <row r="194" spans="1:40" ht="18.75" customHeight="1" x14ac:dyDescent="0.15">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6"/>
      <c r="AN194" s="6"/>
    </row>
    <row r="195" spans="1:40" ht="18.75" customHeight="1" x14ac:dyDescent="0.15">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6"/>
      <c r="AN195" s="6"/>
    </row>
    <row r="196" spans="1:40" ht="18.75" customHeight="1" x14ac:dyDescent="0.15">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6"/>
      <c r="AN196" s="6"/>
    </row>
    <row r="197" spans="1:40" ht="18.75" customHeight="1" x14ac:dyDescent="0.15">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6"/>
      <c r="AN197" s="6"/>
    </row>
    <row r="198" spans="1:40" ht="18.75" customHeight="1" x14ac:dyDescent="0.15">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6"/>
      <c r="AN198" s="6"/>
    </row>
    <row r="199" spans="1:40" ht="18.75" customHeight="1" x14ac:dyDescent="0.15">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6"/>
      <c r="AN199" s="6"/>
    </row>
    <row r="200" spans="1:40" ht="18.75" customHeight="1" x14ac:dyDescent="0.15">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6"/>
      <c r="AN200" s="6"/>
    </row>
    <row r="201" spans="1:40" ht="18.75" customHeight="1" x14ac:dyDescent="0.15">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6"/>
      <c r="AN201" s="6"/>
    </row>
    <row r="202" spans="1:40" ht="18.75" customHeight="1" x14ac:dyDescent="0.15">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6"/>
      <c r="AN202" s="6"/>
    </row>
    <row r="203" spans="1:40" ht="18.75" customHeight="1" x14ac:dyDescent="0.15">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6"/>
      <c r="AN203" s="6"/>
    </row>
    <row r="204" spans="1:40" ht="18.75" customHeight="1" x14ac:dyDescent="0.15">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6"/>
      <c r="AN204" s="6"/>
    </row>
    <row r="205" spans="1:40" ht="18.75" customHeight="1" x14ac:dyDescent="0.15">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6"/>
      <c r="AN205" s="6"/>
    </row>
    <row r="206" spans="1:40" ht="18.75" customHeight="1" x14ac:dyDescent="0.15">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6"/>
      <c r="AN206" s="6"/>
    </row>
    <row r="207" spans="1:40" ht="18.75" customHeight="1" x14ac:dyDescent="0.15">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6"/>
      <c r="AN207" s="6"/>
    </row>
    <row r="208" spans="1:40" ht="18.75" customHeight="1" x14ac:dyDescent="0.15">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6"/>
      <c r="AN208" s="6"/>
    </row>
    <row r="209" spans="1:40" ht="18.75" customHeight="1" x14ac:dyDescent="0.15">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6"/>
      <c r="AN209" s="6"/>
    </row>
    <row r="210" spans="1:40" ht="18.75" customHeight="1" x14ac:dyDescent="0.15">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6"/>
      <c r="AN210" s="6"/>
    </row>
    <row r="211" spans="1:40" ht="18.75" customHeight="1" x14ac:dyDescent="0.15">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6"/>
      <c r="AN211" s="6"/>
    </row>
    <row r="212" spans="1:40" ht="18.75" customHeight="1" x14ac:dyDescent="0.15">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6"/>
      <c r="AN212" s="6"/>
    </row>
    <row r="213" spans="1:40" ht="18.75" customHeight="1" x14ac:dyDescent="0.15">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6"/>
      <c r="AN213" s="6"/>
    </row>
    <row r="214" spans="1:40" ht="18.75" customHeight="1" x14ac:dyDescent="0.15">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6"/>
      <c r="AN214" s="6"/>
    </row>
    <row r="215" spans="1:40" ht="18.75" customHeight="1" x14ac:dyDescent="0.15">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6"/>
      <c r="AN215" s="6"/>
    </row>
    <row r="216" spans="1:40" ht="18.75" customHeight="1" x14ac:dyDescent="0.15">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6"/>
      <c r="AN216" s="6"/>
    </row>
    <row r="217" spans="1:40" ht="18.75" customHeight="1" x14ac:dyDescent="0.15">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6"/>
      <c r="AN217" s="6"/>
    </row>
    <row r="218" spans="1:40" ht="18.75" customHeight="1" x14ac:dyDescent="0.15">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6"/>
      <c r="AN218" s="6"/>
    </row>
    <row r="219" spans="1:40" ht="18.75" customHeight="1" x14ac:dyDescent="0.15">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6"/>
      <c r="AN219" s="6"/>
    </row>
    <row r="220" spans="1:40" ht="18.75" customHeight="1" x14ac:dyDescent="0.15">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6"/>
      <c r="AN220" s="6"/>
    </row>
    <row r="221" spans="1:40" ht="18.75" customHeight="1" x14ac:dyDescent="0.15">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6"/>
      <c r="AN221" s="6"/>
    </row>
    <row r="222" spans="1:40" ht="18.75" customHeight="1" x14ac:dyDescent="0.15">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6"/>
      <c r="AN222" s="6"/>
    </row>
    <row r="223" spans="1:40" ht="18.75" customHeight="1" x14ac:dyDescent="0.15">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6"/>
      <c r="AN223" s="6"/>
    </row>
    <row r="224" spans="1:40" ht="18.75" customHeight="1" x14ac:dyDescent="0.15">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6"/>
      <c r="AN224" s="6"/>
    </row>
    <row r="225" spans="1:40" ht="18.75" customHeight="1" x14ac:dyDescent="0.15">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6"/>
      <c r="AN225" s="6"/>
    </row>
    <row r="226" spans="1:40" ht="18.75" customHeight="1" x14ac:dyDescent="0.15">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row>
    <row r="227" spans="1:40" ht="18.75" customHeight="1" x14ac:dyDescent="0.15">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row>
    <row r="228" spans="1:40" ht="18.75" customHeight="1" x14ac:dyDescent="0.15">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row>
    <row r="229" spans="1:40" ht="18.75" customHeight="1" x14ac:dyDescent="0.15">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row>
    <row r="230" spans="1:40" ht="18.75" customHeight="1" x14ac:dyDescent="0.15">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row>
    <row r="231" spans="1:40" ht="18.75" customHeight="1" x14ac:dyDescent="0.15">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row>
    <row r="232" spans="1:40" ht="18.75" customHeight="1" x14ac:dyDescent="0.15">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row>
    <row r="233" spans="1:40" ht="18.75" customHeight="1" x14ac:dyDescent="0.15">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row>
    <row r="234" spans="1:40" ht="18.75" customHeight="1" x14ac:dyDescent="0.15">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row>
    <row r="235" spans="1:40" ht="18.75" customHeight="1" x14ac:dyDescent="0.15">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row>
    <row r="236" spans="1:40" ht="18.75" customHeight="1" x14ac:dyDescent="0.15">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row>
    <row r="237" spans="1:40" ht="18.75" customHeight="1" x14ac:dyDescent="0.15">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row>
    <row r="238" spans="1:40" ht="18.75" customHeight="1" x14ac:dyDescent="0.15">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row>
    <row r="239" spans="1:40" ht="18.75" customHeight="1" x14ac:dyDescent="0.15">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row>
    <row r="240" spans="1:40" ht="18.75" customHeight="1" x14ac:dyDescent="0.15">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row>
    <row r="241" spans="1:40" ht="18.75" customHeight="1" x14ac:dyDescent="0.15">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row>
    <row r="242" spans="1:40" ht="18.75" customHeight="1" x14ac:dyDescent="0.15">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row>
    <row r="243" spans="1:40" ht="18.75" customHeight="1" x14ac:dyDescent="0.15">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row>
    <row r="244" spans="1:40" ht="18.75" customHeight="1" x14ac:dyDescent="0.15">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row>
    <row r="245" spans="1:40" ht="18.75" customHeight="1" x14ac:dyDescent="0.15">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row>
    <row r="246" spans="1:40" ht="18.75" customHeight="1" x14ac:dyDescent="0.15">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row>
    <row r="247" spans="1:40" ht="18.75" customHeight="1" x14ac:dyDescent="0.15">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row>
    <row r="248" spans="1:40" ht="18.75" customHeight="1" x14ac:dyDescent="0.15">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row>
    <row r="249" spans="1:40" ht="18.75" customHeight="1" x14ac:dyDescent="0.15">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row>
    <row r="250" spans="1:40" ht="18.75" customHeight="1" x14ac:dyDescent="0.15">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row>
    <row r="251" spans="1:40" ht="18.75" customHeight="1" x14ac:dyDescent="0.15">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row>
    <row r="252" spans="1:40" ht="18.75" customHeight="1" x14ac:dyDescent="0.15">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row>
    <row r="253" spans="1:40" ht="18.75" customHeight="1" x14ac:dyDescent="0.15">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row>
    <row r="254" spans="1:40" ht="18.75" customHeight="1" x14ac:dyDescent="0.15">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row>
    <row r="255" spans="1:40" ht="18.75" customHeight="1" x14ac:dyDescent="0.15">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row>
    <row r="256" spans="1:40" ht="18.75" customHeight="1" x14ac:dyDescent="0.15">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row>
    <row r="257" spans="1:40" ht="18.75" customHeight="1" x14ac:dyDescent="0.15">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row>
    <row r="258" spans="1:40" ht="18.75" customHeight="1" x14ac:dyDescent="0.15">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row>
    <row r="259" spans="1:40" ht="18.75" customHeight="1" x14ac:dyDescent="0.15">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row>
    <row r="260" spans="1:40" ht="18.75" customHeight="1" x14ac:dyDescent="0.15">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row>
    <row r="261" spans="1:40" ht="18.75" customHeight="1" x14ac:dyDescent="0.15">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row>
    <row r="262" spans="1:40" ht="18.75" customHeight="1" x14ac:dyDescent="0.15">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row>
    <row r="263" spans="1:40" ht="18.75" customHeight="1" x14ac:dyDescent="0.15">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row>
    <row r="264" spans="1:40" ht="18.75" customHeight="1" x14ac:dyDescent="0.15">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row>
    <row r="265" spans="1:40" ht="18.75" customHeight="1" x14ac:dyDescent="0.15">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row>
    <row r="266" spans="1:40" ht="18.75" customHeight="1" x14ac:dyDescent="0.15">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row>
    <row r="267" spans="1:40" ht="18.75" customHeight="1" x14ac:dyDescent="0.15">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row>
    <row r="268" spans="1:40" ht="18.75" customHeight="1" x14ac:dyDescent="0.15">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row>
    <row r="269" spans="1:40" ht="18.75" customHeight="1" x14ac:dyDescent="0.15">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row>
    <row r="270" spans="1:40" ht="18.75" customHeight="1" x14ac:dyDescent="0.15">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row>
    <row r="271" spans="1:40" ht="18.75" customHeight="1" x14ac:dyDescent="0.15">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row>
    <row r="272" spans="1:40" ht="18.75" customHeight="1" x14ac:dyDescent="0.15">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row>
    <row r="273" spans="1:40" ht="18.75" customHeight="1" x14ac:dyDescent="0.15">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row>
    <row r="274" spans="1:40" ht="18.75" customHeight="1" x14ac:dyDescent="0.15">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row>
    <row r="275" spans="1:40" ht="18.75" customHeight="1" x14ac:dyDescent="0.15">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row>
    <row r="276" spans="1:40" ht="18.75" customHeight="1" x14ac:dyDescent="0.15">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row>
    <row r="277" spans="1:40" ht="18.75" customHeight="1" x14ac:dyDescent="0.15">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row>
    <row r="278" spans="1:40" ht="18.75" customHeight="1" x14ac:dyDescent="0.15">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row>
    <row r="279" spans="1:40" ht="18.75" customHeight="1" x14ac:dyDescent="0.15">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row>
    <row r="280" spans="1:40" ht="18.75" customHeight="1" x14ac:dyDescent="0.15">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row>
    <row r="281" spans="1:40" ht="18.75" customHeight="1" x14ac:dyDescent="0.15">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row>
    <row r="282" spans="1:40" ht="18.75" customHeight="1" x14ac:dyDescent="0.15">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row>
    <row r="283" spans="1:40" ht="18.75" customHeight="1" x14ac:dyDescent="0.15">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row>
    <row r="284" spans="1:40" ht="18.75" customHeight="1" x14ac:dyDescent="0.15">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row>
    <row r="285" spans="1:40" ht="18.75" customHeight="1" x14ac:dyDescent="0.15">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row>
    <row r="286" spans="1:40" ht="18.75" customHeight="1" x14ac:dyDescent="0.15">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row>
    <row r="287" spans="1:40" ht="18.75" customHeight="1" x14ac:dyDescent="0.15">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row>
    <row r="288" spans="1:40" ht="18.75" customHeight="1" x14ac:dyDescent="0.15">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row>
    <row r="289" spans="1:40" ht="18.75" customHeight="1" x14ac:dyDescent="0.15">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row>
    <row r="290" spans="1:40" ht="18.75" customHeight="1" x14ac:dyDescent="0.15">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row>
    <row r="291" spans="1:40" ht="18.75" customHeight="1" x14ac:dyDescent="0.15">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row>
    <row r="292" spans="1:40" ht="18.75" customHeight="1" x14ac:dyDescent="0.15">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row>
    <row r="293" spans="1:40" ht="18.75" customHeight="1" x14ac:dyDescent="0.15">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row>
    <row r="294" spans="1:40" ht="18.75" customHeight="1" x14ac:dyDescent="0.15">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row>
    <row r="295" spans="1:40" ht="18.75" customHeight="1" x14ac:dyDescent="0.15">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row>
    <row r="296" spans="1:40" ht="18.75" customHeight="1" x14ac:dyDescent="0.15">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row>
    <row r="297" spans="1:40" ht="18.75" customHeight="1" x14ac:dyDescent="0.15">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row>
    <row r="298" spans="1:40" ht="18.75" customHeight="1" x14ac:dyDescent="0.15">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row>
    <row r="299" spans="1:40" ht="18.75" customHeight="1" x14ac:dyDescent="0.15">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row>
    <row r="300" spans="1:40" ht="18.75" customHeight="1" x14ac:dyDescent="0.15">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row>
    <row r="301" spans="1:40" ht="18.75" customHeight="1" x14ac:dyDescent="0.15">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row>
    <row r="302" spans="1:40" ht="18.75" customHeight="1" x14ac:dyDescent="0.15">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row>
    <row r="303" spans="1:40" ht="18.75" customHeight="1" x14ac:dyDescent="0.15">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row>
    <row r="304" spans="1:40" ht="18.75" customHeight="1" x14ac:dyDescent="0.15">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row>
    <row r="305" spans="1:40" ht="18.75" customHeight="1" x14ac:dyDescent="0.15">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row>
    <row r="306" spans="1:40" ht="18.75" customHeight="1" x14ac:dyDescent="0.15">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row>
    <row r="307" spans="1:40" ht="18.75" customHeight="1" x14ac:dyDescent="0.15">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row>
    <row r="308" spans="1:40" ht="18.75" customHeight="1" x14ac:dyDescent="0.15">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row>
    <row r="309" spans="1:40" ht="18.75" customHeight="1" x14ac:dyDescent="0.15">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row>
    <row r="310" spans="1:40" ht="18.75" customHeight="1" x14ac:dyDescent="0.15">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row>
    <row r="311" spans="1:40" ht="18.75" customHeight="1" x14ac:dyDescent="0.15">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row>
    <row r="312" spans="1:40" ht="18.75" customHeight="1" x14ac:dyDescent="0.15">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row>
    <row r="313" spans="1:40" ht="18.75" customHeight="1" x14ac:dyDescent="0.15">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row>
    <row r="314" spans="1:40" ht="18.75" customHeight="1" x14ac:dyDescent="0.15">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row>
    <row r="315" spans="1:40" ht="18.75" customHeight="1" x14ac:dyDescent="0.15">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row>
    <row r="316" spans="1:40" ht="18.75" customHeight="1" x14ac:dyDescent="0.15">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row>
    <row r="317" spans="1:40" ht="18.75" customHeight="1" x14ac:dyDescent="0.15">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row>
    <row r="318" spans="1:40" ht="18.75" customHeight="1" x14ac:dyDescent="0.15">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row>
    <row r="319" spans="1:40" ht="18.75" customHeight="1" x14ac:dyDescent="0.15">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row>
    <row r="320" spans="1:40" ht="18.75" customHeight="1" x14ac:dyDescent="0.15">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row>
    <row r="321" spans="1:40" ht="18.75" customHeight="1" x14ac:dyDescent="0.15">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row>
    <row r="322" spans="1:40" ht="18.75" customHeight="1" x14ac:dyDescent="0.15">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row>
    <row r="323" spans="1:40" ht="18.75" customHeight="1" x14ac:dyDescent="0.15">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row>
    <row r="324" spans="1:40" ht="18.75" customHeight="1" x14ac:dyDescent="0.15">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row>
    <row r="325" spans="1:40" ht="18.75" customHeight="1" x14ac:dyDescent="0.15">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row>
    <row r="326" spans="1:40" ht="18.75" customHeight="1" x14ac:dyDescent="0.15">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row>
    <row r="327" spans="1:40" ht="18.75" customHeight="1" x14ac:dyDescent="0.15">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row>
    <row r="328" spans="1:40" ht="18.75" customHeight="1" x14ac:dyDescent="0.15">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row>
    <row r="329" spans="1:40" ht="18.75" customHeight="1" x14ac:dyDescent="0.15">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row>
    <row r="330" spans="1:40" ht="18.75" customHeight="1" x14ac:dyDescent="0.15">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row>
    <row r="331" spans="1:40" ht="18.75" customHeight="1" x14ac:dyDescent="0.15">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row>
    <row r="332" spans="1:40" ht="18.75" customHeight="1" x14ac:dyDescent="0.15">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row>
    <row r="333" spans="1:40" ht="18.75" customHeight="1" x14ac:dyDescent="0.15">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row>
    <row r="334" spans="1:40" ht="18.75" customHeight="1" x14ac:dyDescent="0.15">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row>
    <row r="335" spans="1:40" ht="18.75" customHeight="1" x14ac:dyDescent="0.15">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row>
    <row r="336" spans="1:40" ht="18.75" customHeight="1" x14ac:dyDescent="0.15">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row>
    <row r="337" spans="1:40" ht="18.75" customHeight="1" x14ac:dyDescent="0.15">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row>
    <row r="338" spans="1:40" ht="18.75" customHeight="1" x14ac:dyDescent="0.15">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row>
    <row r="339" spans="1:40" ht="18.75" customHeight="1" x14ac:dyDescent="0.15">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row>
    <row r="340" spans="1:40" ht="18.75" customHeight="1" x14ac:dyDescent="0.15">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row>
    <row r="341" spans="1:40" ht="18.75" customHeight="1" x14ac:dyDescent="0.15">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row>
    <row r="342" spans="1:40" ht="18.75" customHeight="1" x14ac:dyDescent="0.15">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row>
    <row r="343" spans="1:40" ht="18.75" customHeight="1" x14ac:dyDescent="0.15">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row>
    <row r="344" spans="1:40" ht="18.75" customHeight="1" x14ac:dyDescent="0.15">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row>
    <row r="345" spans="1:40" ht="18.75" customHeight="1" x14ac:dyDescent="0.15">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row>
    <row r="346" spans="1:40" ht="18.75" customHeight="1" x14ac:dyDescent="0.15">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row>
    <row r="347" spans="1:40" ht="18.75" customHeight="1" x14ac:dyDescent="0.15">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row>
    <row r="348" spans="1:40" ht="18.75" customHeight="1" x14ac:dyDescent="0.15">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row>
    <row r="349" spans="1:40" ht="18.75" customHeight="1" x14ac:dyDescent="0.15">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row>
    <row r="350" spans="1:40" ht="18.75" customHeight="1" x14ac:dyDescent="0.15">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row>
    <row r="351" spans="1:40" ht="18.75" customHeight="1" x14ac:dyDescent="0.15">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row>
    <row r="352" spans="1:40" ht="18.75" customHeight="1" x14ac:dyDescent="0.15">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row>
    <row r="353" spans="1:40" ht="18.75" customHeight="1" x14ac:dyDescent="0.15">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row>
    <row r="354" spans="1:40" ht="18.75" customHeight="1" x14ac:dyDescent="0.15">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row>
    <row r="355" spans="1:40" ht="18.75" customHeight="1" x14ac:dyDescent="0.15">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row>
    <row r="356" spans="1:40" ht="18.75" customHeight="1" x14ac:dyDescent="0.15">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row>
    <row r="357" spans="1:40" ht="18.75" customHeight="1" x14ac:dyDescent="0.15">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row>
    <row r="358" spans="1:40" ht="18.75" customHeight="1" x14ac:dyDescent="0.15">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row>
    <row r="359" spans="1:40" ht="18.75" customHeight="1" x14ac:dyDescent="0.15">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row>
    <row r="360" spans="1:40" ht="18.75" customHeight="1" x14ac:dyDescent="0.15">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row>
    <row r="361" spans="1:40" ht="18.75" customHeight="1" x14ac:dyDescent="0.15">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row>
    <row r="362" spans="1:40" ht="18.75" customHeight="1" x14ac:dyDescent="0.15">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row>
    <row r="363" spans="1:40" ht="18.75" customHeight="1" x14ac:dyDescent="0.15">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row>
    <row r="364" spans="1:40" ht="18.75" customHeight="1" x14ac:dyDescent="0.15">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row>
    <row r="365" spans="1:40" ht="18.75" customHeight="1" x14ac:dyDescent="0.15">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row>
    <row r="366" spans="1:40" ht="18.75" customHeight="1" x14ac:dyDescent="0.15">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row>
    <row r="367" spans="1:40" ht="18.75" customHeight="1" x14ac:dyDescent="0.15">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row>
    <row r="368" spans="1:40" ht="18.75" customHeight="1" x14ac:dyDescent="0.15">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row>
    <row r="369" spans="1:40" ht="18.75" customHeight="1" x14ac:dyDescent="0.15">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row>
    <row r="370" spans="1:40" ht="18.75" customHeight="1" x14ac:dyDescent="0.15">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row>
    <row r="371" spans="1:40" ht="18.75" customHeight="1" x14ac:dyDescent="0.15">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row>
    <row r="372" spans="1:40" ht="18.75" customHeight="1" x14ac:dyDescent="0.15">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row>
    <row r="373" spans="1:40" ht="18.75" customHeight="1" x14ac:dyDescent="0.15">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row>
    <row r="374" spans="1:40" ht="18.75" customHeight="1" x14ac:dyDescent="0.15">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row>
    <row r="375" spans="1:40" ht="18.75" customHeight="1" x14ac:dyDescent="0.15">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row>
    <row r="376" spans="1:40" ht="18.75" customHeight="1" x14ac:dyDescent="0.15">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row>
    <row r="377" spans="1:40" ht="18.75" customHeight="1" x14ac:dyDescent="0.15">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row>
    <row r="378" spans="1:40" ht="18.75" customHeight="1" x14ac:dyDescent="0.15">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row>
    <row r="379" spans="1:40" ht="18.75" customHeight="1" x14ac:dyDescent="0.15">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row>
    <row r="380" spans="1:40" ht="18.75" customHeight="1" x14ac:dyDescent="0.15">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row>
    <row r="381" spans="1:40" ht="18.75" customHeight="1" x14ac:dyDescent="0.15">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row>
    <row r="382" spans="1:40" ht="18.75" customHeight="1" x14ac:dyDescent="0.15">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row>
    <row r="383" spans="1:40" ht="18.75" customHeight="1" x14ac:dyDescent="0.15">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row>
    <row r="384" spans="1:40" ht="18.75" customHeight="1" x14ac:dyDescent="0.15">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row>
    <row r="385" spans="1:40" ht="18.75" customHeight="1" x14ac:dyDescent="0.15">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row>
    <row r="386" spans="1:40" ht="18.75" customHeight="1" x14ac:dyDescent="0.15">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row>
    <row r="387" spans="1:40" ht="18.75" customHeight="1" x14ac:dyDescent="0.15">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row>
    <row r="388" spans="1:40" ht="18.75" customHeight="1" x14ac:dyDescent="0.15">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row>
    <row r="389" spans="1:40" ht="18.75" customHeight="1" x14ac:dyDescent="0.15">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row>
    <row r="390" spans="1:40" ht="18.75" customHeight="1" x14ac:dyDescent="0.15">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row>
    <row r="391" spans="1:40" ht="18.75" customHeight="1" x14ac:dyDescent="0.15">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row>
    <row r="392" spans="1:40" ht="18.75" customHeight="1" x14ac:dyDescent="0.15">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row>
    <row r="393" spans="1:40" ht="18.75" customHeight="1" x14ac:dyDescent="0.15">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row>
    <row r="394" spans="1:40" ht="18.75" customHeight="1" x14ac:dyDescent="0.15">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row>
    <row r="395" spans="1:40" ht="18.75" customHeight="1" x14ac:dyDescent="0.15">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row>
    <row r="396" spans="1:40" ht="18.75" customHeight="1" x14ac:dyDescent="0.15">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row>
    <row r="397" spans="1:40" ht="18.75" customHeight="1" x14ac:dyDescent="0.15">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row>
    <row r="398" spans="1:40" ht="18.75" customHeight="1" x14ac:dyDescent="0.15">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row>
    <row r="399" spans="1:40" ht="18.75" customHeight="1" x14ac:dyDescent="0.15">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row>
    <row r="400" spans="1:40" ht="18.75" customHeight="1" x14ac:dyDescent="0.15">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row>
    <row r="401" spans="1:40" ht="18.75" customHeight="1" x14ac:dyDescent="0.15">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c r="AH401" s="6"/>
      <c r="AI401" s="6"/>
      <c r="AJ401" s="6"/>
      <c r="AK401" s="6"/>
      <c r="AL401" s="6"/>
      <c r="AM401" s="6"/>
      <c r="AN401" s="6"/>
    </row>
    <row r="402" spans="1:40" ht="18.75" customHeight="1" x14ac:dyDescent="0.15">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row>
    <row r="403" spans="1:40" ht="18.75" customHeight="1" x14ac:dyDescent="0.15">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c r="AH403" s="6"/>
      <c r="AI403" s="6"/>
      <c r="AJ403" s="6"/>
      <c r="AK403" s="6"/>
      <c r="AL403" s="6"/>
      <c r="AM403" s="6"/>
      <c r="AN403" s="6"/>
    </row>
    <row r="404" spans="1:40" ht="18.75" customHeight="1" x14ac:dyDescent="0.15">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row>
    <row r="405" spans="1:40" ht="18.75" customHeight="1" x14ac:dyDescent="0.15">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c r="AH405" s="6"/>
      <c r="AI405" s="6"/>
      <c r="AJ405" s="6"/>
      <c r="AK405" s="6"/>
      <c r="AL405" s="6"/>
      <c r="AM405" s="6"/>
      <c r="AN405" s="6"/>
    </row>
    <row r="406" spans="1:40" ht="18.75" customHeight="1" x14ac:dyDescent="0.15">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row>
    <row r="407" spans="1:40" ht="18.75" customHeight="1" x14ac:dyDescent="0.15">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c r="AH407" s="6"/>
      <c r="AI407" s="6"/>
      <c r="AJ407" s="6"/>
      <c r="AK407" s="6"/>
      <c r="AL407" s="6"/>
      <c r="AM407" s="6"/>
      <c r="AN407" s="6"/>
    </row>
    <row r="408" spans="1:40" ht="18.75" customHeight="1" x14ac:dyDescent="0.15">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row>
    <row r="409" spans="1:40" ht="18.75" customHeight="1" x14ac:dyDescent="0.15">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c r="AH409" s="6"/>
      <c r="AI409" s="6"/>
      <c r="AJ409" s="6"/>
      <c r="AK409" s="6"/>
      <c r="AL409" s="6"/>
      <c r="AM409" s="6"/>
      <c r="AN409" s="6"/>
    </row>
    <row r="410" spans="1:40" ht="18.75" customHeight="1" x14ac:dyDescent="0.15">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row>
    <row r="411" spans="1:40" ht="18.75" customHeight="1" x14ac:dyDescent="0.15">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c r="AH411" s="6"/>
      <c r="AI411" s="6"/>
      <c r="AJ411" s="6"/>
      <c r="AK411" s="6"/>
      <c r="AL411" s="6"/>
      <c r="AM411" s="6"/>
      <c r="AN411" s="6"/>
    </row>
    <row r="412" spans="1:40" ht="18.75" customHeight="1" x14ac:dyDescent="0.15">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row>
    <row r="413" spans="1:40" ht="18.75" customHeight="1" x14ac:dyDescent="0.15">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c r="AH413" s="6"/>
      <c r="AI413" s="6"/>
      <c r="AJ413" s="6"/>
      <c r="AK413" s="6"/>
      <c r="AL413" s="6"/>
      <c r="AM413" s="6"/>
      <c r="AN413" s="6"/>
    </row>
    <row r="414" spans="1:40" ht="18.75" customHeight="1" x14ac:dyDescent="0.15">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row>
    <row r="415" spans="1:40" ht="18.75" customHeight="1" x14ac:dyDescent="0.15">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c r="AH415" s="6"/>
      <c r="AI415" s="6"/>
      <c r="AJ415" s="6"/>
      <c r="AK415" s="6"/>
      <c r="AL415" s="6"/>
      <c r="AM415" s="6"/>
      <c r="AN415" s="6"/>
    </row>
    <row r="416" spans="1:40" ht="18.75" customHeight="1" x14ac:dyDescent="0.15">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row>
    <row r="417" spans="1:40" ht="18.75" customHeight="1" x14ac:dyDescent="0.15">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c r="AH417" s="6"/>
      <c r="AI417" s="6"/>
      <c r="AJ417" s="6"/>
      <c r="AK417" s="6"/>
      <c r="AL417" s="6"/>
      <c r="AM417" s="6"/>
      <c r="AN417" s="6"/>
    </row>
    <row r="418" spans="1:40" ht="18.75" customHeight="1" x14ac:dyDescent="0.15">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row>
    <row r="419" spans="1:40" ht="18.75" customHeight="1" x14ac:dyDescent="0.15">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c r="AH419" s="6"/>
      <c r="AI419" s="6"/>
      <c r="AJ419" s="6"/>
      <c r="AK419" s="6"/>
      <c r="AL419" s="6"/>
      <c r="AM419" s="6"/>
      <c r="AN419" s="6"/>
    </row>
    <row r="420" spans="1:40" ht="18.75" customHeight="1" x14ac:dyDescent="0.15">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row>
    <row r="421" spans="1:40" ht="18.75" customHeight="1" x14ac:dyDescent="0.15">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c r="AH421" s="6"/>
      <c r="AI421" s="6"/>
      <c r="AJ421" s="6"/>
      <c r="AK421" s="6"/>
      <c r="AL421" s="6"/>
      <c r="AM421" s="6"/>
      <c r="AN421" s="6"/>
    </row>
    <row r="422" spans="1:40" ht="18.75" customHeight="1" x14ac:dyDescent="0.15">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row>
    <row r="423" spans="1:40" ht="18.75" customHeight="1" x14ac:dyDescent="0.15">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c r="AH423" s="6"/>
      <c r="AI423" s="6"/>
      <c r="AJ423" s="6"/>
      <c r="AK423" s="6"/>
      <c r="AL423" s="6"/>
      <c r="AM423" s="6"/>
      <c r="AN423" s="6"/>
    </row>
    <row r="424" spans="1:40" ht="18.75" customHeight="1" x14ac:dyDescent="0.15">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row>
    <row r="425" spans="1:40" ht="18.75" customHeight="1" x14ac:dyDescent="0.15">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c r="AH425" s="6"/>
      <c r="AI425" s="6"/>
      <c r="AJ425" s="6"/>
      <c r="AK425" s="6"/>
      <c r="AL425" s="6"/>
      <c r="AM425" s="6"/>
      <c r="AN425" s="6"/>
    </row>
    <row r="426" spans="1:40" ht="18.75" customHeight="1" x14ac:dyDescent="0.15">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row>
    <row r="427" spans="1:40" ht="18.75" customHeight="1" x14ac:dyDescent="0.15">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c r="AH427" s="6"/>
      <c r="AI427" s="6"/>
      <c r="AJ427" s="6"/>
      <c r="AK427" s="6"/>
      <c r="AL427" s="6"/>
      <c r="AM427" s="6"/>
      <c r="AN427" s="6"/>
    </row>
    <row r="428" spans="1:40" ht="18.75" customHeight="1" x14ac:dyDescent="0.15">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row>
    <row r="429" spans="1:40" ht="18.75" customHeight="1" x14ac:dyDescent="0.15">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c r="AH429" s="6"/>
      <c r="AI429" s="6"/>
      <c r="AJ429" s="6"/>
      <c r="AK429" s="6"/>
      <c r="AL429" s="6"/>
      <c r="AM429" s="6"/>
      <c r="AN429" s="6"/>
    </row>
    <row r="430" spans="1:40" ht="18.75" customHeight="1" x14ac:dyDescent="0.15">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row>
    <row r="431" spans="1:40" ht="18.75" customHeight="1" x14ac:dyDescent="0.15">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c r="AH431" s="6"/>
      <c r="AI431" s="6"/>
      <c r="AJ431" s="6"/>
      <c r="AK431" s="6"/>
      <c r="AL431" s="6"/>
      <c r="AM431" s="6"/>
      <c r="AN431" s="6"/>
    </row>
    <row r="432" spans="1:40" ht="18.75" customHeight="1" x14ac:dyDescent="0.15">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row>
    <row r="433" spans="1:40" ht="18.75" customHeight="1" x14ac:dyDescent="0.15">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c r="AH433" s="6"/>
      <c r="AI433" s="6"/>
      <c r="AJ433" s="6"/>
      <c r="AK433" s="6"/>
      <c r="AL433" s="6"/>
      <c r="AM433" s="6"/>
      <c r="AN433" s="6"/>
    </row>
    <row r="434" spans="1:40" ht="18.75" customHeight="1" x14ac:dyDescent="0.15">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row>
    <row r="435" spans="1:40" ht="18.75" customHeight="1" x14ac:dyDescent="0.15">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c r="AH435" s="6"/>
      <c r="AI435" s="6"/>
      <c r="AJ435" s="6"/>
      <c r="AK435" s="6"/>
      <c r="AL435" s="6"/>
      <c r="AM435" s="6"/>
      <c r="AN435" s="6"/>
    </row>
    <row r="436" spans="1:40" ht="18.75" customHeight="1" x14ac:dyDescent="0.15">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row>
    <row r="437" spans="1:40" ht="18.75" customHeight="1" x14ac:dyDescent="0.15">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c r="AN437" s="6"/>
    </row>
    <row r="438" spans="1:40" ht="18.75" customHeight="1" x14ac:dyDescent="0.15">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row>
    <row r="439" spans="1:40" ht="18.75" customHeight="1" x14ac:dyDescent="0.15">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c r="AH439" s="6"/>
      <c r="AI439" s="6"/>
      <c r="AJ439" s="6"/>
      <c r="AK439" s="6"/>
      <c r="AL439" s="6"/>
      <c r="AM439" s="6"/>
      <c r="AN439" s="6"/>
    </row>
    <row r="440" spans="1:40" ht="18.75" customHeight="1" x14ac:dyDescent="0.15">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row>
    <row r="441" spans="1:40" ht="18.75" customHeight="1" x14ac:dyDescent="0.15">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c r="AH441" s="6"/>
      <c r="AI441" s="6"/>
      <c r="AJ441" s="6"/>
      <c r="AK441" s="6"/>
      <c r="AL441" s="6"/>
      <c r="AM441" s="6"/>
      <c r="AN441" s="6"/>
    </row>
    <row r="442" spans="1:40" ht="18.75" customHeight="1" x14ac:dyDescent="0.15">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row>
    <row r="443" spans="1:40" ht="18.75" customHeight="1" x14ac:dyDescent="0.15">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c r="AH443" s="6"/>
      <c r="AI443" s="6"/>
      <c r="AJ443" s="6"/>
      <c r="AK443" s="6"/>
      <c r="AL443" s="6"/>
      <c r="AM443" s="6"/>
      <c r="AN443" s="6"/>
    </row>
    <row r="444" spans="1:40" ht="18.75" customHeight="1" x14ac:dyDescent="0.15">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row>
    <row r="445" spans="1:40" ht="18.75" customHeight="1" x14ac:dyDescent="0.15">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c r="AH445" s="6"/>
      <c r="AI445" s="6"/>
      <c r="AJ445" s="6"/>
      <c r="AK445" s="6"/>
      <c r="AL445" s="6"/>
      <c r="AM445" s="6"/>
      <c r="AN445" s="6"/>
    </row>
    <row r="446" spans="1:40" ht="18.75" customHeight="1" x14ac:dyDescent="0.15">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row>
    <row r="447" spans="1:40" ht="18.75" customHeight="1" x14ac:dyDescent="0.15">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c r="AH447" s="6"/>
      <c r="AI447" s="6"/>
      <c r="AJ447" s="6"/>
      <c r="AK447" s="6"/>
      <c r="AL447" s="6"/>
      <c r="AM447" s="6"/>
      <c r="AN447" s="6"/>
    </row>
    <row r="448" spans="1:40" ht="18.75" customHeight="1" x14ac:dyDescent="0.15">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row>
    <row r="449" spans="1:40" ht="18.75" customHeight="1" x14ac:dyDescent="0.15">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c r="AH449" s="6"/>
      <c r="AI449" s="6"/>
      <c r="AJ449" s="6"/>
      <c r="AK449" s="6"/>
      <c r="AL449" s="6"/>
      <c r="AM449" s="6"/>
      <c r="AN449" s="6"/>
    </row>
    <row r="450" spans="1:40" ht="18.75" customHeight="1" x14ac:dyDescent="0.15">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row>
    <row r="451" spans="1:40" ht="18.75" customHeight="1" x14ac:dyDescent="0.15">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c r="AH451" s="6"/>
      <c r="AI451" s="6"/>
      <c r="AJ451" s="6"/>
      <c r="AK451" s="6"/>
      <c r="AL451" s="6"/>
      <c r="AM451" s="6"/>
      <c r="AN451" s="6"/>
    </row>
    <row r="452" spans="1:40" ht="18.75" customHeight="1" x14ac:dyDescent="0.15">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row>
    <row r="453" spans="1:40" ht="18.75" customHeight="1" x14ac:dyDescent="0.15">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c r="AH453" s="6"/>
      <c r="AI453" s="6"/>
      <c r="AJ453" s="6"/>
      <c r="AK453" s="6"/>
      <c r="AL453" s="6"/>
      <c r="AM453" s="6"/>
      <c r="AN453" s="6"/>
    </row>
    <row r="454" spans="1:40" ht="18.75" customHeight="1" x14ac:dyDescent="0.15">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row>
    <row r="455" spans="1:40" ht="18.75" customHeight="1" x14ac:dyDescent="0.15">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c r="AH455" s="6"/>
      <c r="AI455" s="6"/>
      <c r="AJ455" s="6"/>
      <c r="AK455" s="6"/>
      <c r="AL455" s="6"/>
      <c r="AM455" s="6"/>
      <c r="AN455" s="6"/>
    </row>
    <row r="456" spans="1:40" ht="18.75" customHeight="1" x14ac:dyDescent="0.15">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row>
    <row r="457" spans="1:40" ht="18.75" customHeight="1" x14ac:dyDescent="0.15">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c r="AH457" s="6"/>
      <c r="AI457" s="6"/>
      <c r="AJ457" s="6"/>
      <c r="AK457" s="6"/>
      <c r="AL457" s="6"/>
      <c r="AM457" s="6"/>
      <c r="AN457" s="6"/>
    </row>
    <row r="458" spans="1:40" ht="18.75" customHeight="1" x14ac:dyDescent="0.15">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row>
    <row r="459" spans="1:40" ht="18.75" customHeight="1" x14ac:dyDescent="0.15">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c r="AH459" s="6"/>
      <c r="AI459" s="6"/>
      <c r="AJ459" s="6"/>
      <c r="AK459" s="6"/>
      <c r="AL459" s="6"/>
      <c r="AM459" s="6"/>
      <c r="AN459" s="6"/>
    </row>
    <row r="460" spans="1:40" ht="18.75" customHeight="1" x14ac:dyDescent="0.15">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row>
    <row r="461" spans="1:40" ht="18.75" customHeight="1" x14ac:dyDescent="0.15">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c r="AB461" s="6"/>
      <c r="AC461" s="6"/>
      <c r="AD461" s="6"/>
      <c r="AE461" s="6"/>
      <c r="AF461" s="6"/>
      <c r="AG461" s="6"/>
      <c r="AH461" s="6"/>
      <c r="AI461" s="6"/>
      <c r="AJ461" s="6"/>
      <c r="AK461" s="6"/>
      <c r="AL461" s="6"/>
      <c r="AM461" s="6"/>
      <c r="AN461" s="6"/>
    </row>
    <row r="462" spans="1:40" ht="18.75" customHeight="1" x14ac:dyDescent="0.15">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row>
    <row r="463" spans="1:40" ht="18.75" customHeight="1" x14ac:dyDescent="0.15">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c r="AB463" s="6"/>
      <c r="AC463" s="6"/>
      <c r="AD463" s="6"/>
      <c r="AE463" s="6"/>
      <c r="AF463" s="6"/>
      <c r="AG463" s="6"/>
      <c r="AH463" s="6"/>
      <c r="AI463" s="6"/>
      <c r="AJ463" s="6"/>
      <c r="AK463" s="6"/>
      <c r="AL463" s="6"/>
      <c r="AM463" s="6"/>
      <c r="AN463" s="6"/>
    </row>
    <row r="464" spans="1:40" ht="18.75" customHeight="1" x14ac:dyDescent="0.15">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row>
    <row r="465" spans="1:40" ht="18.75" customHeight="1" x14ac:dyDescent="0.15">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c r="AB465" s="6"/>
      <c r="AC465" s="6"/>
      <c r="AD465" s="6"/>
      <c r="AE465" s="6"/>
      <c r="AF465" s="6"/>
      <c r="AG465" s="6"/>
      <c r="AH465" s="6"/>
      <c r="AI465" s="6"/>
      <c r="AJ465" s="6"/>
      <c r="AK465" s="6"/>
      <c r="AL465" s="6"/>
      <c r="AM465" s="6"/>
      <c r="AN465" s="6"/>
    </row>
    <row r="466" spans="1:40" ht="18.75" customHeight="1" x14ac:dyDescent="0.15">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row>
    <row r="467" spans="1:40" ht="18.75" customHeight="1" x14ac:dyDescent="0.15">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c r="AB467" s="6"/>
      <c r="AC467" s="6"/>
      <c r="AD467" s="6"/>
      <c r="AE467" s="6"/>
      <c r="AF467" s="6"/>
      <c r="AG467" s="6"/>
      <c r="AH467" s="6"/>
      <c r="AI467" s="6"/>
      <c r="AJ467" s="6"/>
      <c r="AK467" s="6"/>
      <c r="AL467" s="6"/>
      <c r="AM467" s="6"/>
      <c r="AN467" s="6"/>
    </row>
    <row r="468" spans="1:40" ht="18.75" customHeight="1" x14ac:dyDescent="0.15">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row>
    <row r="469" spans="1:40" ht="18.75" customHeight="1" x14ac:dyDescent="0.15">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c r="AN469" s="6"/>
    </row>
    <row r="470" spans="1:40" ht="18.75" customHeight="1" x14ac:dyDescent="0.15">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row>
    <row r="471" spans="1:40" ht="18.75" customHeight="1" x14ac:dyDescent="0.15">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c r="AB471" s="6"/>
      <c r="AC471" s="6"/>
      <c r="AD471" s="6"/>
      <c r="AE471" s="6"/>
      <c r="AF471" s="6"/>
      <c r="AG471" s="6"/>
      <c r="AH471" s="6"/>
      <c r="AI471" s="6"/>
      <c r="AJ471" s="6"/>
      <c r="AK471" s="6"/>
      <c r="AL471" s="6"/>
      <c r="AM471" s="6"/>
      <c r="AN471" s="6"/>
    </row>
    <row r="472" spans="1:40" ht="18.75" customHeight="1" x14ac:dyDescent="0.15">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row>
    <row r="473" spans="1:40" ht="18.75" customHeight="1" x14ac:dyDescent="0.15">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c r="AB473" s="6"/>
      <c r="AC473" s="6"/>
      <c r="AD473" s="6"/>
      <c r="AE473" s="6"/>
      <c r="AF473" s="6"/>
      <c r="AG473" s="6"/>
      <c r="AH473" s="6"/>
      <c r="AI473" s="6"/>
      <c r="AJ473" s="6"/>
      <c r="AK473" s="6"/>
      <c r="AL473" s="6"/>
      <c r="AM473" s="6"/>
      <c r="AN473" s="6"/>
    </row>
    <row r="474" spans="1:40" ht="18.75" customHeight="1" x14ac:dyDescent="0.15">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row>
    <row r="475" spans="1:40" ht="18.75" customHeight="1" x14ac:dyDescent="0.15">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c r="AN475" s="6"/>
    </row>
    <row r="476" spans="1:40" ht="18.75" customHeight="1" x14ac:dyDescent="0.15">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row>
    <row r="477" spans="1:40" ht="18.75" customHeight="1" x14ac:dyDescent="0.15">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c r="AB477" s="6"/>
      <c r="AC477" s="6"/>
      <c r="AD477" s="6"/>
      <c r="AE477" s="6"/>
      <c r="AF477" s="6"/>
      <c r="AG477" s="6"/>
      <c r="AH477" s="6"/>
      <c r="AI477" s="6"/>
      <c r="AJ477" s="6"/>
      <c r="AK477" s="6"/>
      <c r="AL477" s="6"/>
      <c r="AM477" s="6"/>
      <c r="AN477" s="6"/>
    </row>
    <row r="478" spans="1:40" ht="18.75" customHeight="1" x14ac:dyDescent="0.15">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row>
    <row r="479" spans="1:40" ht="18.75" customHeight="1" x14ac:dyDescent="0.15">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c r="AB479" s="6"/>
      <c r="AC479" s="6"/>
      <c r="AD479" s="6"/>
      <c r="AE479" s="6"/>
      <c r="AF479" s="6"/>
      <c r="AG479" s="6"/>
      <c r="AH479" s="6"/>
      <c r="AI479" s="6"/>
      <c r="AJ479" s="6"/>
      <c r="AK479" s="6"/>
      <c r="AL479" s="6"/>
      <c r="AM479" s="6"/>
      <c r="AN479" s="6"/>
    </row>
    <row r="480" spans="1:40" ht="18.75" customHeight="1" x14ac:dyDescent="0.15">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row>
    <row r="481" spans="1:40" ht="18.75" customHeight="1" x14ac:dyDescent="0.15">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c r="AB481" s="6"/>
      <c r="AC481" s="6"/>
      <c r="AD481" s="6"/>
      <c r="AE481" s="6"/>
      <c r="AF481" s="6"/>
      <c r="AG481" s="6"/>
      <c r="AH481" s="6"/>
      <c r="AI481" s="6"/>
      <c r="AJ481" s="6"/>
      <c r="AK481" s="6"/>
      <c r="AL481" s="6"/>
      <c r="AM481" s="6"/>
      <c r="AN481" s="6"/>
    </row>
    <row r="482" spans="1:40" ht="18.75" customHeight="1" x14ac:dyDescent="0.15">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row>
    <row r="483" spans="1:40" ht="18.75" customHeight="1" x14ac:dyDescent="0.15">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c r="AB483" s="6"/>
      <c r="AC483" s="6"/>
      <c r="AD483" s="6"/>
      <c r="AE483" s="6"/>
      <c r="AF483" s="6"/>
      <c r="AG483" s="6"/>
      <c r="AH483" s="6"/>
      <c r="AI483" s="6"/>
      <c r="AJ483" s="6"/>
      <c r="AK483" s="6"/>
      <c r="AL483" s="6"/>
      <c r="AM483" s="6"/>
      <c r="AN483" s="6"/>
    </row>
    <row r="484" spans="1:40" ht="18.75" customHeight="1" x14ac:dyDescent="0.15">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row>
    <row r="485" spans="1:40" ht="18.75" customHeight="1" x14ac:dyDescent="0.15">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c r="AB485" s="6"/>
      <c r="AC485" s="6"/>
      <c r="AD485" s="6"/>
      <c r="AE485" s="6"/>
      <c r="AF485" s="6"/>
      <c r="AG485" s="6"/>
      <c r="AH485" s="6"/>
      <c r="AI485" s="6"/>
      <c r="AJ485" s="6"/>
      <c r="AK485" s="6"/>
      <c r="AL485" s="6"/>
      <c r="AM485" s="6"/>
      <c r="AN485" s="6"/>
    </row>
    <row r="486" spans="1:40" ht="18.75" customHeight="1" x14ac:dyDescent="0.15">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row>
    <row r="487" spans="1:40" ht="18.75" customHeight="1" x14ac:dyDescent="0.15">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c r="AB487" s="6"/>
      <c r="AC487" s="6"/>
      <c r="AD487" s="6"/>
      <c r="AE487" s="6"/>
      <c r="AF487" s="6"/>
      <c r="AG487" s="6"/>
      <c r="AH487" s="6"/>
      <c r="AI487" s="6"/>
      <c r="AJ487" s="6"/>
      <c r="AK487" s="6"/>
      <c r="AL487" s="6"/>
      <c r="AM487" s="6"/>
      <c r="AN487" s="6"/>
    </row>
    <row r="488" spans="1:40" ht="18.75" customHeight="1" x14ac:dyDescent="0.15">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row>
    <row r="489" spans="1:40" ht="18.75" customHeight="1" x14ac:dyDescent="0.15">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c r="AB489" s="6"/>
      <c r="AC489" s="6"/>
      <c r="AD489" s="6"/>
      <c r="AE489" s="6"/>
      <c r="AF489" s="6"/>
      <c r="AG489" s="6"/>
      <c r="AH489" s="6"/>
      <c r="AI489" s="6"/>
      <c r="AJ489" s="6"/>
      <c r="AK489" s="6"/>
      <c r="AL489" s="6"/>
      <c r="AM489" s="6"/>
      <c r="AN489" s="6"/>
    </row>
    <row r="490" spans="1:40" ht="18.75" customHeight="1" x14ac:dyDescent="0.15">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row>
    <row r="491" spans="1:40" ht="18.75" customHeight="1" x14ac:dyDescent="0.15">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c r="AB491" s="6"/>
      <c r="AC491" s="6"/>
      <c r="AD491" s="6"/>
      <c r="AE491" s="6"/>
      <c r="AF491" s="6"/>
      <c r="AG491" s="6"/>
      <c r="AH491" s="6"/>
      <c r="AI491" s="6"/>
      <c r="AJ491" s="6"/>
      <c r="AK491" s="6"/>
      <c r="AL491" s="6"/>
      <c r="AM491" s="6"/>
      <c r="AN491" s="6"/>
    </row>
    <row r="492" spans="1:40" ht="18.75" customHeight="1" x14ac:dyDescent="0.15">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row>
    <row r="493" spans="1:40" ht="18.75" customHeight="1" x14ac:dyDescent="0.15">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c r="AB493" s="6"/>
      <c r="AC493" s="6"/>
      <c r="AD493" s="6"/>
      <c r="AE493" s="6"/>
      <c r="AF493" s="6"/>
      <c r="AG493" s="6"/>
      <c r="AH493" s="6"/>
      <c r="AI493" s="6"/>
      <c r="AJ493" s="6"/>
      <c r="AK493" s="6"/>
      <c r="AL493" s="6"/>
      <c r="AM493" s="6"/>
      <c r="AN493" s="6"/>
    </row>
    <row r="494" spans="1:40" ht="18.75" customHeight="1" x14ac:dyDescent="0.15">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row>
    <row r="495" spans="1:40" ht="18.75" customHeight="1" x14ac:dyDescent="0.15">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c r="AB495" s="6"/>
      <c r="AC495" s="6"/>
      <c r="AD495" s="6"/>
      <c r="AE495" s="6"/>
      <c r="AF495" s="6"/>
      <c r="AG495" s="6"/>
      <c r="AH495" s="6"/>
      <c r="AI495" s="6"/>
      <c r="AJ495" s="6"/>
      <c r="AK495" s="6"/>
      <c r="AL495" s="6"/>
      <c r="AM495" s="6"/>
      <c r="AN495" s="6"/>
    </row>
    <row r="496" spans="1:40" ht="18.75" customHeight="1" x14ac:dyDescent="0.15">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row>
    <row r="497" spans="1:40" ht="18.75" customHeight="1" x14ac:dyDescent="0.15">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c r="AB497" s="6"/>
      <c r="AC497" s="6"/>
      <c r="AD497" s="6"/>
      <c r="AE497" s="6"/>
      <c r="AF497" s="6"/>
      <c r="AG497" s="6"/>
      <c r="AH497" s="6"/>
      <c r="AI497" s="6"/>
      <c r="AJ497" s="6"/>
      <c r="AK497" s="6"/>
      <c r="AL497" s="6"/>
      <c r="AM497" s="6"/>
      <c r="AN497" s="6"/>
    </row>
    <row r="498" spans="1:40" ht="18.75" customHeight="1" x14ac:dyDescent="0.15">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row>
    <row r="499" spans="1:40" ht="18.75" customHeight="1" x14ac:dyDescent="0.15">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c r="AB499" s="6"/>
      <c r="AC499" s="6"/>
      <c r="AD499" s="6"/>
      <c r="AE499" s="6"/>
      <c r="AF499" s="6"/>
      <c r="AG499" s="6"/>
      <c r="AH499" s="6"/>
      <c r="AI499" s="6"/>
      <c r="AJ499" s="6"/>
      <c r="AK499" s="6"/>
      <c r="AL499" s="6"/>
      <c r="AM499" s="6"/>
      <c r="AN499" s="6"/>
    </row>
    <row r="500" spans="1:40" ht="18.75" customHeight="1" x14ac:dyDescent="0.15">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row>
    <row r="501" spans="1:40" ht="18.75" customHeight="1" x14ac:dyDescent="0.15">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c r="AB501" s="6"/>
      <c r="AC501" s="6"/>
      <c r="AD501" s="6"/>
      <c r="AE501" s="6"/>
      <c r="AF501" s="6"/>
      <c r="AG501" s="6"/>
      <c r="AH501" s="6"/>
      <c r="AI501" s="6"/>
      <c r="AJ501" s="6"/>
      <c r="AK501" s="6"/>
      <c r="AL501" s="6"/>
      <c r="AM501" s="6"/>
      <c r="AN501" s="6"/>
    </row>
    <row r="502" spans="1:40" ht="18.75" customHeight="1" x14ac:dyDescent="0.15">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row>
    <row r="503" spans="1:40" ht="18.75" customHeight="1" x14ac:dyDescent="0.15">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c r="AB503" s="6"/>
      <c r="AC503" s="6"/>
      <c r="AD503" s="6"/>
      <c r="AE503" s="6"/>
      <c r="AF503" s="6"/>
      <c r="AG503" s="6"/>
      <c r="AH503" s="6"/>
      <c r="AI503" s="6"/>
      <c r="AJ503" s="6"/>
      <c r="AK503" s="6"/>
      <c r="AL503" s="6"/>
      <c r="AM503" s="6"/>
      <c r="AN503" s="6"/>
    </row>
    <row r="504" spans="1:40" ht="18.75" customHeight="1" x14ac:dyDescent="0.15">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row>
    <row r="505" spans="1:40" ht="18.75" customHeight="1" x14ac:dyDescent="0.15">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c r="AB505" s="6"/>
      <c r="AC505" s="6"/>
      <c r="AD505" s="6"/>
      <c r="AE505" s="6"/>
      <c r="AF505" s="6"/>
      <c r="AG505" s="6"/>
      <c r="AH505" s="6"/>
      <c r="AI505" s="6"/>
      <c r="AJ505" s="6"/>
      <c r="AK505" s="6"/>
      <c r="AL505" s="6"/>
      <c r="AM505" s="6"/>
      <c r="AN505" s="6"/>
    </row>
    <row r="506" spans="1:40" ht="18.75" customHeight="1" x14ac:dyDescent="0.15">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row>
    <row r="507" spans="1:40" ht="18.75" customHeight="1" x14ac:dyDescent="0.15">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c r="AB507" s="6"/>
      <c r="AC507" s="6"/>
      <c r="AD507" s="6"/>
      <c r="AE507" s="6"/>
      <c r="AF507" s="6"/>
      <c r="AG507" s="6"/>
      <c r="AH507" s="6"/>
      <c r="AI507" s="6"/>
      <c r="AJ507" s="6"/>
      <c r="AK507" s="6"/>
      <c r="AL507" s="6"/>
      <c r="AM507" s="6"/>
      <c r="AN507" s="6"/>
    </row>
    <row r="508" spans="1:40" ht="18.75" customHeight="1" x14ac:dyDescent="0.15">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row>
    <row r="509" spans="1:40" ht="18.75" customHeight="1" x14ac:dyDescent="0.15">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c r="AB509" s="6"/>
      <c r="AC509" s="6"/>
      <c r="AD509" s="6"/>
      <c r="AE509" s="6"/>
      <c r="AF509" s="6"/>
      <c r="AG509" s="6"/>
      <c r="AH509" s="6"/>
      <c r="AI509" s="6"/>
      <c r="AJ509" s="6"/>
      <c r="AK509" s="6"/>
      <c r="AL509" s="6"/>
      <c r="AM509" s="6"/>
      <c r="AN509" s="6"/>
    </row>
    <row r="510" spans="1:40" ht="18.75" customHeight="1" x14ac:dyDescent="0.15">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row>
    <row r="511" spans="1:40" ht="18.75" customHeight="1" x14ac:dyDescent="0.15">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c r="AB511" s="6"/>
      <c r="AC511" s="6"/>
      <c r="AD511" s="6"/>
      <c r="AE511" s="6"/>
      <c r="AF511" s="6"/>
      <c r="AG511" s="6"/>
      <c r="AH511" s="6"/>
      <c r="AI511" s="6"/>
      <c r="AJ511" s="6"/>
      <c r="AK511" s="6"/>
      <c r="AL511" s="6"/>
      <c r="AM511" s="6"/>
      <c r="AN511" s="6"/>
    </row>
    <row r="512" spans="1:40" ht="18.75" customHeight="1" x14ac:dyDescent="0.15">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row>
    <row r="513" spans="1:40" ht="18.75" customHeight="1" x14ac:dyDescent="0.15">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c r="AB513" s="6"/>
      <c r="AC513" s="6"/>
      <c r="AD513" s="6"/>
      <c r="AE513" s="6"/>
      <c r="AF513" s="6"/>
      <c r="AG513" s="6"/>
      <c r="AH513" s="6"/>
      <c r="AI513" s="6"/>
      <c r="AJ513" s="6"/>
      <c r="AK513" s="6"/>
      <c r="AL513" s="6"/>
      <c r="AM513" s="6"/>
      <c r="AN513" s="6"/>
    </row>
    <row r="514" spans="1:40" ht="18.75" customHeight="1" x14ac:dyDescent="0.15">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row>
    <row r="515" spans="1:40" ht="18.75" customHeight="1" x14ac:dyDescent="0.15">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c r="AB515" s="6"/>
      <c r="AC515" s="6"/>
      <c r="AD515" s="6"/>
      <c r="AE515" s="6"/>
      <c r="AF515" s="6"/>
      <c r="AG515" s="6"/>
      <c r="AH515" s="6"/>
      <c r="AI515" s="6"/>
      <c r="AJ515" s="6"/>
      <c r="AK515" s="6"/>
      <c r="AL515" s="6"/>
      <c r="AM515" s="6"/>
      <c r="AN515" s="6"/>
    </row>
    <row r="516" spans="1:40" ht="18.75" customHeight="1" x14ac:dyDescent="0.15">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row>
    <row r="517" spans="1:40" ht="18.75" customHeight="1" x14ac:dyDescent="0.15">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c r="AB517" s="6"/>
      <c r="AC517" s="6"/>
      <c r="AD517" s="6"/>
      <c r="AE517" s="6"/>
      <c r="AF517" s="6"/>
      <c r="AG517" s="6"/>
      <c r="AH517" s="6"/>
      <c r="AI517" s="6"/>
      <c r="AJ517" s="6"/>
      <c r="AK517" s="6"/>
      <c r="AL517" s="6"/>
      <c r="AM517" s="6"/>
      <c r="AN517" s="6"/>
    </row>
    <row r="518" spans="1:40" ht="18.75" customHeight="1" x14ac:dyDescent="0.15">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row>
    <row r="519" spans="1:40" ht="18.75" customHeight="1" x14ac:dyDescent="0.15">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c r="AB519" s="6"/>
      <c r="AC519" s="6"/>
      <c r="AD519" s="6"/>
      <c r="AE519" s="6"/>
      <c r="AF519" s="6"/>
      <c r="AG519" s="6"/>
      <c r="AH519" s="6"/>
      <c r="AI519" s="6"/>
      <c r="AJ519" s="6"/>
      <c r="AK519" s="6"/>
      <c r="AL519" s="6"/>
      <c r="AM519" s="6"/>
      <c r="AN519" s="6"/>
    </row>
    <row r="520" spans="1:40" ht="18.75" customHeight="1" x14ac:dyDescent="0.15">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row>
    <row r="521" spans="1:40" ht="18.75" customHeight="1" x14ac:dyDescent="0.15">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c r="AB521" s="6"/>
      <c r="AC521" s="6"/>
      <c r="AD521" s="6"/>
      <c r="AE521" s="6"/>
      <c r="AF521" s="6"/>
      <c r="AG521" s="6"/>
      <c r="AH521" s="6"/>
      <c r="AI521" s="6"/>
      <c r="AJ521" s="6"/>
      <c r="AK521" s="6"/>
      <c r="AL521" s="6"/>
      <c r="AM521" s="6"/>
      <c r="AN521" s="6"/>
    </row>
    <row r="522" spans="1:40" ht="18.75" customHeight="1" x14ac:dyDescent="0.15">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row>
    <row r="523" spans="1:40" ht="18.75" customHeight="1" x14ac:dyDescent="0.15">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c r="AB523" s="6"/>
      <c r="AC523" s="6"/>
      <c r="AD523" s="6"/>
      <c r="AE523" s="6"/>
      <c r="AF523" s="6"/>
      <c r="AG523" s="6"/>
      <c r="AH523" s="6"/>
      <c r="AI523" s="6"/>
      <c r="AJ523" s="6"/>
      <c r="AK523" s="6"/>
      <c r="AL523" s="6"/>
      <c r="AM523" s="6"/>
      <c r="AN523" s="6"/>
    </row>
    <row r="524" spans="1:40" ht="18.75" customHeight="1" x14ac:dyDescent="0.15">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row>
    <row r="525" spans="1:40" ht="18.75" customHeight="1" x14ac:dyDescent="0.15">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c r="AB525" s="6"/>
      <c r="AC525" s="6"/>
      <c r="AD525" s="6"/>
      <c r="AE525" s="6"/>
      <c r="AF525" s="6"/>
      <c r="AG525" s="6"/>
      <c r="AH525" s="6"/>
      <c r="AI525" s="6"/>
      <c r="AJ525" s="6"/>
      <c r="AK525" s="6"/>
      <c r="AL525" s="6"/>
      <c r="AM525" s="6"/>
      <c r="AN525" s="6"/>
    </row>
    <row r="526" spans="1:40" ht="18.75" customHeight="1" x14ac:dyDescent="0.15">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row>
    <row r="527" spans="1:40" ht="18.75" customHeight="1" x14ac:dyDescent="0.15">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c r="AB527" s="6"/>
      <c r="AC527" s="6"/>
      <c r="AD527" s="6"/>
      <c r="AE527" s="6"/>
      <c r="AF527" s="6"/>
      <c r="AG527" s="6"/>
      <c r="AH527" s="6"/>
      <c r="AI527" s="6"/>
      <c r="AJ527" s="6"/>
      <c r="AK527" s="6"/>
      <c r="AL527" s="6"/>
      <c r="AM527" s="6"/>
      <c r="AN527" s="6"/>
    </row>
    <row r="528" spans="1:40" ht="18.75" customHeight="1" x14ac:dyDescent="0.15">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row>
    <row r="529" spans="1:40" ht="18.75" customHeight="1" x14ac:dyDescent="0.15">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c r="AB529" s="6"/>
      <c r="AC529" s="6"/>
      <c r="AD529" s="6"/>
      <c r="AE529" s="6"/>
      <c r="AF529" s="6"/>
      <c r="AG529" s="6"/>
      <c r="AH529" s="6"/>
      <c r="AI529" s="6"/>
      <c r="AJ529" s="6"/>
      <c r="AK529" s="6"/>
      <c r="AL529" s="6"/>
      <c r="AM529" s="6"/>
      <c r="AN529" s="6"/>
    </row>
    <row r="530" spans="1:40" ht="18.75" customHeight="1" x14ac:dyDescent="0.15">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row>
    <row r="531" spans="1:40" ht="18.75" customHeight="1" x14ac:dyDescent="0.15">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c r="AN531" s="6"/>
    </row>
    <row r="532" spans="1:40" ht="18.75" customHeight="1" x14ac:dyDescent="0.15">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row>
    <row r="533" spans="1:40" ht="18.75" customHeight="1" x14ac:dyDescent="0.15">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c r="AB533" s="6"/>
      <c r="AC533" s="6"/>
      <c r="AD533" s="6"/>
      <c r="AE533" s="6"/>
      <c r="AF533" s="6"/>
      <c r="AG533" s="6"/>
      <c r="AH533" s="6"/>
      <c r="AI533" s="6"/>
      <c r="AJ533" s="6"/>
      <c r="AK533" s="6"/>
      <c r="AL533" s="6"/>
      <c r="AM533" s="6"/>
      <c r="AN533" s="6"/>
    </row>
    <row r="534" spans="1:40" ht="18.75" customHeight="1" x14ac:dyDescent="0.15">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row>
    <row r="535" spans="1:40" ht="18.75" customHeight="1" x14ac:dyDescent="0.15">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c r="AN535" s="6"/>
    </row>
    <row r="536" spans="1:40" ht="18.75" customHeight="1" x14ac:dyDescent="0.15">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row>
    <row r="537" spans="1:40" ht="18.75" customHeight="1" x14ac:dyDescent="0.15">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c r="AB537" s="6"/>
      <c r="AC537" s="6"/>
      <c r="AD537" s="6"/>
      <c r="AE537" s="6"/>
      <c r="AF537" s="6"/>
      <c r="AG537" s="6"/>
      <c r="AH537" s="6"/>
      <c r="AI537" s="6"/>
      <c r="AJ537" s="6"/>
      <c r="AK537" s="6"/>
      <c r="AL537" s="6"/>
      <c r="AM537" s="6"/>
      <c r="AN537" s="6"/>
    </row>
    <row r="538" spans="1:40" ht="18.75" customHeight="1" x14ac:dyDescent="0.15">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row>
    <row r="539" spans="1:40" ht="18.75" customHeight="1" x14ac:dyDescent="0.15">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c r="AB539" s="6"/>
      <c r="AC539" s="6"/>
      <c r="AD539" s="6"/>
      <c r="AE539" s="6"/>
      <c r="AF539" s="6"/>
      <c r="AG539" s="6"/>
      <c r="AH539" s="6"/>
      <c r="AI539" s="6"/>
      <c r="AJ539" s="6"/>
      <c r="AK539" s="6"/>
      <c r="AL539" s="6"/>
      <c r="AM539" s="6"/>
      <c r="AN539" s="6"/>
    </row>
    <row r="540" spans="1:40" ht="18.75" customHeight="1" x14ac:dyDescent="0.15">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c r="AB540" s="6"/>
      <c r="AC540" s="6"/>
      <c r="AD540" s="6"/>
      <c r="AE540" s="6"/>
      <c r="AF540" s="6"/>
      <c r="AG540" s="6"/>
      <c r="AH540" s="6"/>
      <c r="AI540" s="6"/>
      <c r="AJ540" s="6"/>
      <c r="AK540" s="6"/>
      <c r="AL540" s="6"/>
      <c r="AM540" s="6"/>
      <c r="AN540" s="6"/>
    </row>
    <row r="541" spans="1:40" ht="18.75" customHeight="1" x14ac:dyDescent="0.15">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c r="AB541" s="6"/>
      <c r="AC541" s="6"/>
      <c r="AD541" s="6"/>
      <c r="AE541" s="6"/>
      <c r="AF541" s="6"/>
      <c r="AG541" s="6"/>
      <c r="AH541" s="6"/>
      <c r="AI541" s="6"/>
      <c r="AJ541" s="6"/>
      <c r="AK541" s="6"/>
      <c r="AL541" s="6"/>
      <c r="AM541" s="6"/>
      <c r="AN541" s="6"/>
    </row>
    <row r="542" spans="1:40" ht="18.75" customHeight="1" x14ac:dyDescent="0.15">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c r="AB542" s="6"/>
      <c r="AC542" s="6"/>
      <c r="AD542" s="6"/>
      <c r="AE542" s="6"/>
      <c r="AF542" s="6"/>
      <c r="AG542" s="6"/>
      <c r="AH542" s="6"/>
      <c r="AI542" s="6"/>
      <c r="AJ542" s="6"/>
      <c r="AK542" s="6"/>
      <c r="AL542" s="6"/>
      <c r="AM542" s="6"/>
      <c r="AN542" s="6"/>
    </row>
    <row r="543" spans="1:40" ht="18.75" customHeight="1" x14ac:dyDescent="0.15">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c r="AB543" s="6"/>
      <c r="AC543" s="6"/>
      <c r="AD543" s="6"/>
      <c r="AE543" s="6"/>
      <c r="AF543" s="6"/>
      <c r="AG543" s="6"/>
      <c r="AH543" s="6"/>
      <c r="AI543" s="6"/>
      <c r="AJ543" s="6"/>
      <c r="AK543" s="6"/>
      <c r="AL543" s="6"/>
      <c r="AM543" s="6"/>
      <c r="AN543" s="6"/>
    </row>
    <row r="544" spans="1:40" ht="18.75" customHeight="1" x14ac:dyDescent="0.15">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c r="AB544" s="6"/>
      <c r="AC544" s="6"/>
      <c r="AD544" s="6"/>
      <c r="AE544" s="6"/>
      <c r="AF544" s="6"/>
      <c r="AG544" s="6"/>
      <c r="AH544" s="6"/>
      <c r="AI544" s="6"/>
      <c r="AJ544" s="6"/>
      <c r="AK544" s="6"/>
      <c r="AL544" s="6"/>
      <c r="AM544" s="6"/>
      <c r="AN544" s="6"/>
    </row>
    <row r="545" spans="1:40" ht="18.75" customHeight="1" x14ac:dyDescent="0.1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c r="AB545" s="6"/>
      <c r="AC545" s="6"/>
      <c r="AD545" s="6"/>
      <c r="AE545" s="6"/>
      <c r="AF545" s="6"/>
      <c r="AG545" s="6"/>
      <c r="AH545" s="6"/>
      <c r="AI545" s="6"/>
      <c r="AJ545" s="6"/>
      <c r="AK545" s="6"/>
      <c r="AL545" s="6"/>
      <c r="AM545" s="6"/>
      <c r="AN545" s="6"/>
    </row>
    <row r="546" spans="1:40" ht="18.75" customHeight="1" x14ac:dyDescent="0.1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c r="AB546" s="6"/>
      <c r="AC546" s="6"/>
      <c r="AD546" s="6"/>
      <c r="AE546" s="6"/>
      <c r="AF546" s="6"/>
      <c r="AG546" s="6"/>
      <c r="AH546" s="6"/>
      <c r="AI546" s="6"/>
      <c r="AJ546" s="6"/>
      <c r="AK546" s="6"/>
      <c r="AL546" s="6"/>
      <c r="AM546" s="6"/>
      <c r="AN546" s="6"/>
    </row>
    <row r="547" spans="1:40" ht="18.75" customHeight="1" x14ac:dyDescent="0.1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c r="AB547" s="6"/>
      <c r="AC547" s="6"/>
      <c r="AD547" s="6"/>
      <c r="AE547" s="6"/>
      <c r="AF547" s="6"/>
      <c r="AG547" s="6"/>
      <c r="AH547" s="6"/>
      <c r="AI547" s="6"/>
      <c r="AJ547" s="6"/>
      <c r="AK547" s="6"/>
      <c r="AL547" s="6"/>
      <c r="AM547" s="6"/>
      <c r="AN547" s="6"/>
    </row>
    <row r="548" spans="1:40" ht="18.75" customHeight="1" x14ac:dyDescent="0.1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c r="AB548" s="6"/>
      <c r="AC548" s="6"/>
      <c r="AD548" s="6"/>
      <c r="AE548" s="6"/>
      <c r="AF548" s="6"/>
      <c r="AG548" s="6"/>
      <c r="AH548" s="6"/>
      <c r="AI548" s="6"/>
      <c r="AJ548" s="6"/>
      <c r="AK548" s="6"/>
      <c r="AL548" s="6"/>
      <c r="AM548" s="6"/>
      <c r="AN548" s="6"/>
    </row>
    <row r="549" spans="1:40" ht="18.75" customHeight="1" x14ac:dyDescent="0.1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c r="AA549" s="6"/>
      <c r="AB549" s="6"/>
      <c r="AC549" s="6"/>
      <c r="AD549" s="6"/>
      <c r="AE549" s="6"/>
      <c r="AF549" s="6"/>
      <c r="AG549" s="6"/>
      <c r="AH549" s="6"/>
      <c r="AI549" s="6"/>
      <c r="AJ549" s="6"/>
      <c r="AK549" s="6"/>
      <c r="AL549" s="6"/>
      <c r="AM549" s="6"/>
      <c r="AN549" s="6"/>
    </row>
    <row r="550" spans="1:40" ht="18.75" customHeight="1" x14ac:dyDescent="0.1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c r="AA550" s="6"/>
      <c r="AB550" s="6"/>
      <c r="AC550" s="6"/>
      <c r="AD550" s="6"/>
      <c r="AE550" s="6"/>
      <c r="AF550" s="6"/>
      <c r="AG550" s="6"/>
      <c r="AH550" s="6"/>
      <c r="AI550" s="6"/>
      <c r="AJ550" s="6"/>
      <c r="AK550" s="6"/>
      <c r="AL550" s="6"/>
      <c r="AM550" s="6"/>
      <c r="AN550" s="6"/>
    </row>
    <row r="551" spans="1:40" ht="18.75" customHeight="1" x14ac:dyDescent="0.1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c r="AA551" s="6"/>
      <c r="AB551" s="6"/>
      <c r="AC551" s="6"/>
      <c r="AD551" s="6"/>
      <c r="AE551" s="6"/>
      <c r="AF551" s="6"/>
      <c r="AG551" s="6"/>
      <c r="AH551" s="6"/>
      <c r="AI551" s="6"/>
      <c r="AJ551" s="6"/>
      <c r="AK551" s="6"/>
      <c r="AL551" s="6"/>
      <c r="AM551" s="6"/>
      <c r="AN551" s="6"/>
    </row>
    <row r="552" spans="1:40" ht="18.75" customHeight="1" x14ac:dyDescent="0.1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c r="AA552" s="6"/>
      <c r="AB552" s="6"/>
      <c r="AC552" s="6"/>
      <c r="AD552" s="6"/>
      <c r="AE552" s="6"/>
      <c r="AF552" s="6"/>
      <c r="AG552" s="6"/>
      <c r="AH552" s="6"/>
      <c r="AI552" s="6"/>
      <c r="AJ552" s="6"/>
      <c r="AK552" s="6"/>
      <c r="AL552" s="6"/>
      <c r="AM552" s="6"/>
      <c r="AN552" s="6"/>
    </row>
    <row r="553" spans="1:40" ht="18.75" customHeight="1" x14ac:dyDescent="0.1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c r="AA553" s="6"/>
      <c r="AB553" s="6"/>
      <c r="AC553" s="6"/>
      <c r="AD553" s="6"/>
      <c r="AE553" s="6"/>
      <c r="AF553" s="6"/>
      <c r="AG553" s="6"/>
      <c r="AH553" s="6"/>
      <c r="AI553" s="6"/>
      <c r="AJ553" s="6"/>
      <c r="AK553" s="6"/>
      <c r="AL553" s="6"/>
      <c r="AM553" s="6"/>
      <c r="AN553" s="6"/>
    </row>
    <row r="554" spans="1:40" ht="18.75" customHeight="1" x14ac:dyDescent="0.1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c r="AA554" s="6"/>
      <c r="AB554" s="6"/>
      <c r="AC554" s="6"/>
      <c r="AD554" s="6"/>
      <c r="AE554" s="6"/>
      <c r="AF554" s="6"/>
      <c r="AG554" s="6"/>
      <c r="AH554" s="6"/>
      <c r="AI554" s="6"/>
      <c r="AJ554" s="6"/>
      <c r="AK554" s="6"/>
      <c r="AL554" s="6"/>
      <c r="AM554" s="6"/>
      <c r="AN554" s="6"/>
    </row>
    <row r="555" spans="1:40" ht="18.75" customHeight="1" x14ac:dyDescent="0.1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c r="AA555" s="6"/>
      <c r="AB555" s="6"/>
      <c r="AC555" s="6"/>
      <c r="AD555" s="6"/>
      <c r="AE555" s="6"/>
      <c r="AF555" s="6"/>
      <c r="AG555" s="6"/>
      <c r="AH555" s="6"/>
      <c r="AI555" s="6"/>
      <c r="AJ555" s="6"/>
      <c r="AK555" s="6"/>
      <c r="AL555" s="6"/>
      <c r="AM555" s="6"/>
      <c r="AN555" s="6"/>
    </row>
    <row r="556" spans="1:40" ht="18.75" customHeight="1" x14ac:dyDescent="0.1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c r="AA556" s="6"/>
      <c r="AB556" s="6"/>
      <c r="AC556" s="6"/>
      <c r="AD556" s="6"/>
      <c r="AE556" s="6"/>
      <c r="AF556" s="6"/>
      <c r="AG556" s="6"/>
      <c r="AH556" s="6"/>
      <c r="AI556" s="6"/>
      <c r="AJ556" s="6"/>
      <c r="AK556" s="6"/>
      <c r="AL556" s="6"/>
      <c r="AM556" s="6"/>
      <c r="AN556" s="6"/>
    </row>
    <row r="557" spans="1:40" ht="18.75" customHeight="1" x14ac:dyDescent="0.1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c r="AA557" s="6"/>
      <c r="AB557" s="6"/>
      <c r="AC557" s="6"/>
      <c r="AD557" s="6"/>
      <c r="AE557" s="6"/>
      <c r="AF557" s="6"/>
      <c r="AG557" s="6"/>
      <c r="AH557" s="6"/>
      <c r="AI557" s="6"/>
      <c r="AJ557" s="6"/>
      <c r="AK557" s="6"/>
      <c r="AL557" s="6"/>
      <c r="AM557" s="6"/>
      <c r="AN557" s="6"/>
    </row>
    <row r="558" spans="1:40" ht="18.75" customHeight="1" x14ac:dyDescent="0.1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c r="AA558" s="6"/>
      <c r="AB558" s="6"/>
      <c r="AC558" s="6"/>
      <c r="AD558" s="6"/>
      <c r="AE558" s="6"/>
      <c r="AF558" s="6"/>
      <c r="AG558" s="6"/>
      <c r="AH558" s="6"/>
      <c r="AI558" s="6"/>
      <c r="AJ558" s="6"/>
      <c r="AK558" s="6"/>
      <c r="AL558" s="6"/>
      <c r="AM558" s="6"/>
      <c r="AN558" s="6"/>
    </row>
    <row r="559" spans="1:40" ht="18.75" customHeight="1" x14ac:dyDescent="0.1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c r="AA559" s="6"/>
      <c r="AB559" s="6"/>
      <c r="AC559" s="6"/>
      <c r="AD559" s="6"/>
      <c r="AE559" s="6"/>
      <c r="AF559" s="6"/>
      <c r="AG559" s="6"/>
      <c r="AH559" s="6"/>
      <c r="AI559" s="6"/>
      <c r="AJ559" s="6"/>
      <c r="AK559" s="6"/>
      <c r="AL559" s="6"/>
      <c r="AM559" s="6"/>
      <c r="AN559" s="6"/>
    </row>
    <row r="560" spans="1:40" ht="18.75" customHeight="1" x14ac:dyDescent="0.1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c r="AA560" s="6"/>
      <c r="AB560" s="6"/>
      <c r="AC560" s="6"/>
      <c r="AD560" s="6"/>
      <c r="AE560" s="6"/>
      <c r="AF560" s="6"/>
      <c r="AG560" s="6"/>
      <c r="AH560" s="6"/>
      <c r="AI560" s="6"/>
      <c r="AJ560" s="6"/>
      <c r="AK560" s="6"/>
      <c r="AL560" s="6"/>
      <c r="AM560" s="6"/>
      <c r="AN560" s="6"/>
    </row>
    <row r="561" spans="1:40" ht="18.75" customHeight="1" x14ac:dyDescent="0.1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c r="AA561" s="6"/>
      <c r="AB561" s="6"/>
      <c r="AC561" s="6"/>
      <c r="AD561" s="6"/>
      <c r="AE561" s="6"/>
      <c r="AF561" s="6"/>
      <c r="AG561" s="6"/>
      <c r="AH561" s="6"/>
      <c r="AI561" s="6"/>
      <c r="AJ561" s="6"/>
      <c r="AK561" s="6"/>
      <c r="AL561" s="6"/>
      <c r="AM561" s="6"/>
      <c r="AN561" s="6"/>
    </row>
    <row r="562" spans="1:40" ht="18.75" customHeight="1" x14ac:dyDescent="0.1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c r="AA562" s="6"/>
      <c r="AB562" s="6"/>
      <c r="AC562" s="6"/>
      <c r="AD562" s="6"/>
      <c r="AE562" s="6"/>
      <c r="AF562" s="6"/>
      <c r="AG562" s="6"/>
      <c r="AH562" s="6"/>
      <c r="AI562" s="6"/>
      <c r="AJ562" s="6"/>
      <c r="AK562" s="6"/>
      <c r="AL562" s="6"/>
      <c r="AM562" s="6"/>
      <c r="AN562" s="6"/>
    </row>
    <row r="563" spans="1:40" ht="18.75" customHeight="1" x14ac:dyDescent="0.1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c r="AA563" s="6"/>
      <c r="AB563" s="6"/>
      <c r="AC563" s="6"/>
      <c r="AD563" s="6"/>
      <c r="AE563" s="6"/>
      <c r="AF563" s="6"/>
      <c r="AG563" s="6"/>
      <c r="AH563" s="6"/>
      <c r="AI563" s="6"/>
      <c r="AJ563" s="6"/>
      <c r="AK563" s="6"/>
      <c r="AL563" s="6"/>
      <c r="AM563" s="6"/>
      <c r="AN563" s="6"/>
    </row>
    <row r="564" spans="1:40" ht="18.75" customHeight="1" x14ac:dyDescent="0.1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c r="AA564" s="6"/>
      <c r="AB564" s="6"/>
      <c r="AC564" s="6"/>
      <c r="AD564" s="6"/>
      <c r="AE564" s="6"/>
      <c r="AF564" s="6"/>
      <c r="AG564" s="6"/>
      <c r="AH564" s="6"/>
      <c r="AI564" s="6"/>
      <c r="AJ564" s="6"/>
      <c r="AK564" s="6"/>
      <c r="AL564" s="6"/>
      <c r="AM564" s="6"/>
      <c r="AN564" s="6"/>
    </row>
    <row r="565" spans="1:40" ht="18.75" customHeight="1" x14ac:dyDescent="0.1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c r="AA565" s="6"/>
      <c r="AB565" s="6"/>
      <c r="AC565" s="6"/>
      <c r="AD565" s="6"/>
      <c r="AE565" s="6"/>
      <c r="AF565" s="6"/>
      <c r="AG565" s="6"/>
      <c r="AH565" s="6"/>
      <c r="AI565" s="6"/>
      <c r="AJ565" s="6"/>
      <c r="AK565" s="6"/>
      <c r="AL565" s="6"/>
      <c r="AM565" s="6"/>
      <c r="AN565" s="6"/>
    </row>
    <row r="566" spans="1:40" ht="18.75" customHeight="1" x14ac:dyDescent="0.1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c r="AA566" s="6"/>
      <c r="AB566" s="6"/>
      <c r="AC566" s="6"/>
      <c r="AD566" s="6"/>
      <c r="AE566" s="6"/>
      <c r="AF566" s="6"/>
      <c r="AG566" s="6"/>
      <c r="AH566" s="6"/>
      <c r="AI566" s="6"/>
      <c r="AJ566" s="6"/>
      <c r="AK566" s="6"/>
      <c r="AL566" s="6"/>
      <c r="AM566" s="6"/>
      <c r="AN566" s="6"/>
    </row>
    <row r="567" spans="1:40" ht="18.75" customHeight="1" x14ac:dyDescent="0.1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c r="AA567" s="6"/>
      <c r="AB567" s="6"/>
      <c r="AC567" s="6"/>
      <c r="AD567" s="6"/>
      <c r="AE567" s="6"/>
      <c r="AF567" s="6"/>
      <c r="AG567" s="6"/>
      <c r="AH567" s="6"/>
      <c r="AI567" s="6"/>
      <c r="AJ567" s="6"/>
      <c r="AK567" s="6"/>
      <c r="AL567" s="6"/>
      <c r="AM567" s="6"/>
      <c r="AN567" s="6"/>
    </row>
    <row r="568" spans="1:40" ht="18.75" customHeight="1" x14ac:dyDescent="0.1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c r="AA568" s="6"/>
      <c r="AB568" s="6"/>
      <c r="AC568" s="6"/>
      <c r="AD568" s="6"/>
      <c r="AE568" s="6"/>
      <c r="AF568" s="6"/>
      <c r="AG568" s="6"/>
      <c r="AH568" s="6"/>
      <c r="AI568" s="6"/>
      <c r="AJ568" s="6"/>
      <c r="AK568" s="6"/>
      <c r="AL568" s="6"/>
      <c r="AM568" s="6"/>
      <c r="AN568" s="6"/>
    </row>
    <row r="569" spans="1:40" ht="18.75" customHeight="1" x14ac:dyDescent="0.1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c r="AA569" s="6"/>
      <c r="AB569" s="6"/>
      <c r="AC569" s="6"/>
      <c r="AD569" s="6"/>
      <c r="AE569" s="6"/>
      <c r="AF569" s="6"/>
      <c r="AG569" s="6"/>
      <c r="AH569" s="6"/>
      <c r="AI569" s="6"/>
      <c r="AJ569" s="6"/>
      <c r="AK569" s="6"/>
      <c r="AL569" s="6"/>
      <c r="AM569" s="6"/>
      <c r="AN569" s="6"/>
    </row>
    <row r="570" spans="1:40" ht="18.75" customHeight="1" x14ac:dyDescent="0.1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c r="AA570" s="6"/>
      <c r="AB570" s="6"/>
      <c r="AC570" s="6"/>
      <c r="AD570" s="6"/>
      <c r="AE570" s="6"/>
      <c r="AF570" s="6"/>
      <c r="AG570" s="6"/>
      <c r="AH570" s="6"/>
      <c r="AI570" s="6"/>
      <c r="AJ570" s="6"/>
      <c r="AK570" s="6"/>
      <c r="AL570" s="6"/>
      <c r="AM570" s="6"/>
      <c r="AN570" s="6"/>
    </row>
    <row r="571" spans="1:40" ht="18.75" customHeight="1" x14ac:dyDescent="0.1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c r="AA571" s="6"/>
      <c r="AB571" s="6"/>
      <c r="AC571" s="6"/>
      <c r="AD571" s="6"/>
      <c r="AE571" s="6"/>
      <c r="AF571" s="6"/>
      <c r="AG571" s="6"/>
      <c r="AH571" s="6"/>
      <c r="AI571" s="6"/>
      <c r="AJ571" s="6"/>
      <c r="AK571" s="6"/>
      <c r="AL571" s="6"/>
      <c r="AM571" s="6"/>
      <c r="AN571" s="6"/>
    </row>
    <row r="572" spans="1:40" ht="18.75" customHeight="1" x14ac:dyDescent="0.1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c r="AA572" s="6"/>
      <c r="AB572" s="6"/>
      <c r="AC572" s="6"/>
      <c r="AD572" s="6"/>
      <c r="AE572" s="6"/>
      <c r="AF572" s="6"/>
      <c r="AG572" s="6"/>
      <c r="AH572" s="6"/>
      <c r="AI572" s="6"/>
      <c r="AJ572" s="6"/>
      <c r="AK572" s="6"/>
      <c r="AL572" s="6"/>
      <c r="AM572" s="6"/>
      <c r="AN572" s="6"/>
    </row>
    <row r="573" spans="1:40" ht="18.75" customHeight="1" x14ac:dyDescent="0.1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c r="AA573" s="6"/>
      <c r="AB573" s="6"/>
      <c r="AC573" s="6"/>
      <c r="AD573" s="6"/>
      <c r="AE573" s="6"/>
      <c r="AF573" s="6"/>
      <c r="AG573" s="6"/>
      <c r="AH573" s="6"/>
      <c r="AI573" s="6"/>
      <c r="AJ573" s="6"/>
      <c r="AK573" s="6"/>
      <c r="AL573" s="6"/>
      <c r="AM573" s="6"/>
      <c r="AN573" s="6"/>
    </row>
    <row r="574" spans="1:40" ht="18.75" customHeight="1" x14ac:dyDescent="0.1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c r="AA574" s="6"/>
      <c r="AB574" s="6"/>
      <c r="AC574" s="6"/>
      <c r="AD574" s="6"/>
      <c r="AE574" s="6"/>
      <c r="AF574" s="6"/>
      <c r="AG574" s="6"/>
      <c r="AH574" s="6"/>
      <c r="AI574" s="6"/>
      <c r="AJ574" s="6"/>
      <c r="AK574" s="6"/>
      <c r="AL574" s="6"/>
      <c r="AM574" s="6"/>
      <c r="AN574" s="6"/>
    </row>
    <row r="575" spans="1:40" ht="18.75" customHeight="1" x14ac:dyDescent="0.1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c r="AA575" s="6"/>
      <c r="AB575" s="6"/>
      <c r="AC575" s="6"/>
      <c r="AD575" s="6"/>
      <c r="AE575" s="6"/>
      <c r="AF575" s="6"/>
      <c r="AG575" s="6"/>
      <c r="AH575" s="6"/>
      <c r="AI575" s="6"/>
      <c r="AJ575" s="6"/>
      <c r="AK575" s="6"/>
      <c r="AL575" s="6"/>
      <c r="AM575" s="6"/>
      <c r="AN575" s="6"/>
    </row>
    <row r="576" spans="1:40" ht="18.75" customHeight="1" x14ac:dyDescent="0.1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c r="AA576" s="6"/>
      <c r="AB576" s="6"/>
      <c r="AC576" s="6"/>
      <c r="AD576" s="6"/>
      <c r="AE576" s="6"/>
      <c r="AF576" s="6"/>
      <c r="AG576" s="6"/>
      <c r="AH576" s="6"/>
      <c r="AI576" s="6"/>
      <c r="AJ576" s="6"/>
      <c r="AK576" s="6"/>
      <c r="AL576" s="6"/>
      <c r="AM576" s="6"/>
      <c r="AN576" s="6"/>
    </row>
    <row r="577" spans="1:40" ht="18.75" customHeight="1" x14ac:dyDescent="0.1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c r="AA577" s="6"/>
      <c r="AB577" s="6"/>
      <c r="AC577" s="6"/>
      <c r="AD577" s="6"/>
      <c r="AE577" s="6"/>
      <c r="AF577" s="6"/>
      <c r="AG577" s="6"/>
      <c r="AH577" s="6"/>
      <c r="AI577" s="6"/>
      <c r="AJ577" s="6"/>
      <c r="AK577" s="6"/>
      <c r="AL577" s="6"/>
      <c r="AM577" s="6"/>
      <c r="AN577" s="6"/>
    </row>
    <row r="578" spans="1:40" ht="18.75" customHeight="1" x14ac:dyDescent="0.1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c r="AA578" s="6"/>
      <c r="AB578" s="6"/>
      <c r="AC578" s="6"/>
      <c r="AD578" s="6"/>
      <c r="AE578" s="6"/>
      <c r="AF578" s="6"/>
      <c r="AG578" s="6"/>
      <c r="AH578" s="6"/>
      <c r="AI578" s="6"/>
      <c r="AJ578" s="6"/>
      <c r="AK578" s="6"/>
      <c r="AL578" s="6"/>
      <c r="AM578" s="6"/>
      <c r="AN578" s="6"/>
    </row>
    <row r="579" spans="1:40" ht="18.75" customHeight="1" x14ac:dyDescent="0.1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c r="AA579" s="6"/>
      <c r="AB579" s="6"/>
      <c r="AC579" s="6"/>
      <c r="AD579" s="6"/>
      <c r="AE579" s="6"/>
      <c r="AF579" s="6"/>
      <c r="AG579" s="6"/>
      <c r="AH579" s="6"/>
      <c r="AI579" s="6"/>
      <c r="AJ579" s="6"/>
      <c r="AK579" s="6"/>
      <c r="AL579" s="6"/>
      <c r="AM579" s="6"/>
      <c r="AN579" s="6"/>
    </row>
    <row r="580" spans="1:40" ht="18.75" customHeight="1" x14ac:dyDescent="0.1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c r="AA580" s="6"/>
      <c r="AB580" s="6"/>
      <c r="AC580" s="6"/>
      <c r="AD580" s="6"/>
      <c r="AE580" s="6"/>
      <c r="AF580" s="6"/>
      <c r="AG580" s="6"/>
      <c r="AH580" s="6"/>
      <c r="AI580" s="6"/>
      <c r="AJ580" s="6"/>
      <c r="AK580" s="6"/>
      <c r="AL580" s="6"/>
      <c r="AM580" s="6"/>
      <c r="AN580" s="6"/>
    </row>
    <row r="581" spans="1:40" ht="18.75" customHeight="1" x14ac:dyDescent="0.1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c r="AA581" s="6"/>
      <c r="AB581" s="6"/>
      <c r="AC581" s="6"/>
      <c r="AD581" s="6"/>
      <c r="AE581" s="6"/>
      <c r="AF581" s="6"/>
      <c r="AG581" s="6"/>
      <c r="AH581" s="6"/>
      <c r="AI581" s="6"/>
      <c r="AJ581" s="6"/>
      <c r="AK581" s="6"/>
      <c r="AL581" s="6"/>
      <c r="AM581" s="6"/>
      <c r="AN581" s="6"/>
    </row>
    <row r="582" spans="1:40" ht="18.75" customHeight="1" x14ac:dyDescent="0.1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c r="AA582" s="6"/>
      <c r="AB582" s="6"/>
      <c r="AC582" s="6"/>
      <c r="AD582" s="6"/>
      <c r="AE582" s="6"/>
      <c r="AF582" s="6"/>
      <c r="AG582" s="6"/>
      <c r="AH582" s="6"/>
      <c r="AI582" s="6"/>
      <c r="AJ582" s="6"/>
      <c r="AK582" s="6"/>
      <c r="AL582" s="6"/>
      <c r="AM582" s="6"/>
      <c r="AN582" s="6"/>
    </row>
    <row r="583" spans="1:40" ht="18.75" customHeight="1" x14ac:dyDescent="0.1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c r="AA583" s="6"/>
      <c r="AB583" s="6"/>
      <c r="AC583" s="6"/>
      <c r="AD583" s="6"/>
      <c r="AE583" s="6"/>
      <c r="AF583" s="6"/>
      <c r="AG583" s="6"/>
      <c r="AH583" s="6"/>
      <c r="AI583" s="6"/>
      <c r="AJ583" s="6"/>
      <c r="AK583" s="6"/>
      <c r="AL583" s="6"/>
      <c r="AM583" s="6"/>
      <c r="AN583" s="6"/>
    </row>
    <row r="584" spans="1:40" ht="18.75" customHeight="1" x14ac:dyDescent="0.1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c r="AA584" s="6"/>
      <c r="AB584" s="6"/>
      <c r="AC584" s="6"/>
      <c r="AD584" s="6"/>
      <c r="AE584" s="6"/>
      <c r="AF584" s="6"/>
      <c r="AG584" s="6"/>
      <c r="AH584" s="6"/>
      <c r="AI584" s="6"/>
      <c r="AJ584" s="6"/>
      <c r="AK584" s="6"/>
      <c r="AL584" s="6"/>
      <c r="AM584" s="6"/>
      <c r="AN584" s="6"/>
    </row>
    <row r="585" spans="1:40" ht="18.75" customHeight="1" x14ac:dyDescent="0.1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c r="AA585" s="6"/>
      <c r="AB585" s="6"/>
      <c r="AC585" s="6"/>
      <c r="AD585" s="6"/>
      <c r="AE585" s="6"/>
      <c r="AF585" s="6"/>
      <c r="AG585" s="6"/>
      <c r="AH585" s="6"/>
      <c r="AI585" s="6"/>
      <c r="AJ585" s="6"/>
      <c r="AK585" s="6"/>
      <c r="AL585" s="6"/>
      <c r="AM585" s="6"/>
      <c r="AN585" s="6"/>
    </row>
    <row r="586" spans="1:40" ht="18.75" customHeight="1" x14ac:dyDescent="0.1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c r="AA586" s="6"/>
      <c r="AB586" s="6"/>
      <c r="AC586" s="6"/>
      <c r="AD586" s="6"/>
      <c r="AE586" s="6"/>
      <c r="AF586" s="6"/>
      <c r="AG586" s="6"/>
      <c r="AH586" s="6"/>
      <c r="AI586" s="6"/>
      <c r="AJ586" s="6"/>
      <c r="AK586" s="6"/>
      <c r="AL586" s="6"/>
      <c r="AM586" s="6"/>
      <c r="AN586" s="6"/>
    </row>
    <row r="587" spans="1:40" ht="18.75" customHeight="1" x14ac:dyDescent="0.1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c r="AA587" s="6"/>
      <c r="AB587" s="6"/>
      <c r="AC587" s="6"/>
      <c r="AD587" s="6"/>
      <c r="AE587" s="6"/>
      <c r="AF587" s="6"/>
      <c r="AG587" s="6"/>
      <c r="AH587" s="6"/>
      <c r="AI587" s="6"/>
      <c r="AJ587" s="6"/>
      <c r="AK587" s="6"/>
      <c r="AL587" s="6"/>
      <c r="AM587" s="6"/>
      <c r="AN587" s="6"/>
    </row>
    <row r="588" spans="1:40" ht="18.75" customHeight="1" x14ac:dyDescent="0.1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c r="AA588" s="6"/>
      <c r="AB588" s="6"/>
      <c r="AC588" s="6"/>
      <c r="AD588" s="6"/>
      <c r="AE588" s="6"/>
      <c r="AF588" s="6"/>
      <c r="AG588" s="6"/>
      <c r="AH588" s="6"/>
      <c r="AI588" s="6"/>
      <c r="AJ588" s="6"/>
      <c r="AK588" s="6"/>
      <c r="AL588" s="6"/>
      <c r="AM588" s="6"/>
      <c r="AN588" s="6"/>
    </row>
    <row r="589" spans="1:40" ht="18.75" customHeight="1" x14ac:dyDescent="0.1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c r="AA589" s="6"/>
      <c r="AB589" s="6"/>
      <c r="AC589" s="6"/>
      <c r="AD589" s="6"/>
      <c r="AE589" s="6"/>
      <c r="AF589" s="6"/>
      <c r="AG589" s="6"/>
      <c r="AH589" s="6"/>
      <c r="AI589" s="6"/>
      <c r="AJ589" s="6"/>
      <c r="AK589" s="6"/>
      <c r="AL589" s="6"/>
      <c r="AM589" s="6"/>
      <c r="AN589" s="6"/>
    </row>
    <row r="590" spans="1:40" ht="18.75" customHeight="1" x14ac:dyDescent="0.1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c r="AA590" s="6"/>
      <c r="AB590" s="6"/>
      <c r="AC590" s="6"/>
      <c r="AD590" s="6"/>
      <c r="AE590" s="6"/>
      <c r="AF590" s="6"/>
      <c r="AG590" s="6"/>
      <c r="AH590" s="6"/>
      <c r="AI590" s="6"/>
      <c r="AJ590" s="6"/>
      <c r="AK590" s="6"/>
      <c r="AL590" s="6"/>
      <c r="AM590" s="6"/>
      <c r="AN590" s="6"/>
    </row>
    <row r="591" spans="1:40" ht="18.75" customHeight="1" x14ac:dyDescent="0.1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c r="AA591" s="6"/>
      <c r="AB591" s="6"/>
      <c r="AC591" s="6"/>
      <c r="AD591" s="6"/>
      <c r="AE591" s="6"/>
      <c r="AF591" s="6"/>
      <c r="AG591" s="6"/>
      <c r="AH591" s="6"/>
      <c r="AI591" s="6"/>
      <c r="AJ591" s="6"/>
      <c r="AK591" s="6"/>
      <c r="AL591" s="6"/>
      <c r="AM591" s="6"/>
      <c r="AN591" s="6"/>
    </row>
    <row r="592" spans="1:40" ht="18.75" customHeight="1" x14ac:dyDescent="0.1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c r="AA592" s="6"/>
      <c r="AB592" s="6"/>
      <c r="AC592" s="6"/>
      <c r="AD592" s="6"/>
      <c r="AE592" s="6"/>
      <c r="AF592" s="6"/>
      <c r="AG592" s="6"/>
      <c r="AH592" s="6"/>
      <c r="AI592" s="6"/>
      <c r="AJ592" s="6"/>
      <c r="AK592" s="6"/>
      <c r="AL592" s="6"/>
      <c r="AM592" s="6"/>
      <c r="AN592" s="6"/>
    </row>
    <row r="593" spans="1:40" ht="18.75" customHeight="1" x14ac:dyDescent="0.1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c r="AA593" s="6"/>
      <c r="AB593" s="6"/>
      <c r="AC593" s="6"/>
      <c r="AD593" s="6"/>
      <c r="AE593" s="6"/>
      <c r="AF593" s="6"/>
      <c r="AG593" s="6"/>
      <c r="AH593" s="6"/>
      <c r="AI593" s="6"/>
      <c r="AJ593" s="6"/>
      <c r="AK593" s="6"/>
      <c r="AL593" s="6"/>
      <c r="AM593" s="6"/>
      <c r="AN593" s="6"/>
    </row>
    <row r="594" spans="1:40" ht="18.75" customHeight="1" x14ac:dyDescent="0.1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c r="AA594" s="6"/>
      <c r="AB594" s="6"/>
      <c r="AC594" s="6"/>
      <c r="AD594" s="6"/>
      <c r="AE594" s="6"/>
      <c r="AF594" s="6"/>
      <c r="AG594" s="6"/>
      <c r="AH594" s="6"/>
      <c r="AI594" s="6"/>
      <c r="AJ594" s="6"/>
      <c r="AK594" s="6"/>
      <c r="AL594" s="6"/>
      <c r="AM594" s="6"/>
      <c r="AN594" s="6"/>
    </row>
    <row r="595" spans="1:40" ht="18.75" customHeight="1" x14ac:dyDescent="0.1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c r="AA595" s="6"/>
      <c r="AB595" s="6"/>
      <c r="AC595" s="6"/>
      <c r="AD595" s="6"/>
      <c r="AE595" s="6"/>
      <c r="AF595" s="6"/>
      <c r="AG595" s="6"/>
      <c r="AH595" s="6"/>
      <c r="AI595" s="6"/>
      <c r="AJ595" s="6"/>
      <c r="AK595" s="6"/>
      <c r="AL595" s="6"/>
      <c r="AM595" s="6"/>
      <c r="AN595" s="6"/>
    </row>
    <row r="596" spans="1:40" ht="18.75" customHeight="1" x14ac:dyDescent="0.1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c r="AA596" s="6"/>
      <c r="AB596" s="6"/>
      <c r="AC596" s="6"/>
      <c r="AD596" s="6"/>
      <c r="AE596" s="6"/>
      <c r="AF596" s="6"/>
      <c r="AG596" s="6"/>
      <c r="AH596" s="6"/>
      <c r="AI596" s="6"/>
      <c r="AJ596" s="6"/>
      <c r="AK596" s="6"/>
      <c r="AL596" s="6"/>
      <c r="AM596" s="6"/>
      <c r="AN596" s="6"/>
    </row>
    <row r="597" spans="1:40" ht="18.75" customHeight="1" x14ac:dyDescent="0.1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c r="AA597" s="6"/>
      <c r="AB597" s="6"/>
      <c r="AC597" s="6"/>
      <c r="AD597" s="6"/>
      <c r="AE597" s="6"/>
      <c r="AF597" s="6"/>
      <c r="AG597" s="6"/>
      <c r="AH597" s="6"/>
      <c r="AI597" s="6"/>
      <c r="AJ597" s="6"/>
      <c r="AK597" s="6"/>
      <c r="AL597" s="6"/>
      <c r="AM597" s="6"/>
      <c r="AN597" s="6"/>
    </row>
    <row r="598" spans="1:40" ht="18.75" customHeight="1" x14ac:dyDescent="0.1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c r="AA598" s="6"/>
      <c r="AB598" s="6"/>
      <c r="AC598" s="6"/>
      <c r="AD598" s="6"/>
      <c r="AE598" s="6"/>
      <c r="AF598" s="6"/>
      <c r="AG598" s="6"/>
      <c r="AH598" s="6"/>
      <c r="AI598" s="6"/>
      <c r="AJ598" s="6"/>
      <c r="AK598" s="6"/>
      <c r="AL598" s="6"/>
      <c r="AM598" s="6"/>
      <c r="AN598" s="6"/>
    </row>
    <row r="599" spans="1:40" ht="18.75" customHeight="1" x14ac:dyDescent="0.1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c r="AA599" s="6"/>
      <c r="AB599" s="6"/>
      <c r="AC599" s="6"/>
      <c r="AD599" s="6"/>
      <c r="AE599" s="6"/>
      <c r="AF599" s="6"/>
      <c r="AG599" s="6"/>
      <c r="AH599" s="6"/>
      <c r="AI599" s="6"/>
      <c r="AJ599" s="6"/>
      <c r="AK599" s="6"/>
      <c r="AL599" s="6"/>
      <c r="AM599" s="6"/>
      <c r="AN599" s="6"/>
    </row>
    <row r="600" spans="1:40" ht="18.75" customHeight="1" x14ac:dyDescent="0.1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c r="AA600" s="6"/>
      <c r="AB600" s="6"/>
      <c r="AC600" s="6"/>
      <c r="AD600" s="6"/>
      <c r="AE600" s="6"/>
      <c r="AF600" s="6"/>
      <c r="AG600" s="6"/>
      <c r="AH600" s="6"/>
      <c r="AI600" s="6"/>
      <c r="AJ600" s="6"/>
      <c r="AK600" s="6"/>
      <c r="AL600" s="6"/>
      <c r="AM600" s="6"/>
      <c r="AN600" s="6"/>
    </row>
    <row r="601" spans="1:40" ht="18.75" customHeight="1" x14ac:dyDescent="0.1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c r="AA601" s="6"/>
      <c r="AB601" s="6"/>
      <c r="AC601" s="6"/>
      <c r="AD601" s="6"/>
      <c r="AE601" s="6"/>
      <c r="AF601" s="6"/>
      <c r="AG601" s="6"/>
      <c r="AH601" s="6"/>
      <c r="AI601" s="6"/>
      <c r="AJ601" s="6"/>
      <c r="AK601" s="6"/>
      <c r="AL601" s="6"/>
      <c r="AM601" s="6"/>
      <c r="AN601" s="6"/>
    </row>
    <row r="602" spans="1:40" ht="18.75" customHeight="1" x14ac:dyDescent="0.1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c r="AA602" s="6"/>
      <c r="AB602" s="6"/>
      <c r="AC602" s="6"/>
      <c r="AD602" s="6"/>
      <c r="AE602" s="6"/>
      <c r="AF602" s="6"/>
      <c r="AG602" s="6"/>
      <c r="AH602" s="6"/>
      <c r="AI602" s="6"/>
      <c r="AJ602" s="6"/>
      <c r="AK602" s="6"/>
      <c r="AL602" s="6"/>
      <c r="AM602" s="6"/>
      <c r="AN602" s="6"/>
    </row>
    <row r="603" spans="1:40" ht="18.75" customHeight="1" x14ac:dyDescent="0.1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c r="AA603" s="6"/>
      <c r="AB603" s="6"/>
      <c r="AC603" s="6"/>
      <c r="AD603" s="6"/>
      <c r="AE603" s="6"/>
      <c r="AF603" s="6"/>
      <c r="AG603" s="6"/>
      <c r="AH603" s="6"/>
      <c r="AI603" s="6"/>
      <c r="AJ603" s="6"/>
      <c r="AK603" s="6"/>
      <c r="AL603" s="6"/>
      <c r="AM603" s="6"/>
      <c r="AN603" s="6"/>
    </row>
    <row r="604" spans="1:40" ht="18.75" customHeight="1" x14ac:dyDescent="0.1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c r="AA604" s="6"/>
      <c r="AB604" s="6"/>
      <c r="AC604" s="6"/>
      <c r="AD604" s="6"/>
      <c r="AE604" s="6"/>
      <c r="AF604" s="6"/>
      <c r="AG604" s="6"/>
      <c r="AH604" s="6"/>
      <c r="AI604" s="6"/>
      <c r="AJ604" s="6"/>
      <c r="AK604" s="6"/>
      <c r="AL604" s="6"/>
      <c r="AM604" s="6"/>
      <c r="AN604" s="6"/>
    </row>
    <row r="605" spans="1:40" ht="18.75" customHeight="1" x14ac:dyDescent="0.1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c r="AA605" s="6"/>
      <c r="AB605" s="6"/>
      <c r="AC605" s="6"/>
      <c r="AD605" s="6"/>
      <c r="AE605" s="6"/>
      <c r="AF605" s="6"/>
      <c r="AG605" s="6"/>
      <c r="AH605" s="6"/>
      <c r="AI605" s="6"/>
      <c r="AJ605" s="6"/>
      <c r="AK605" s="6"/>
      <c r="AL605" s="6"/>
      <c r="AM605" s="6"/>
      <c r="AN605" s="6"/>
    </row>
    <row r="606" spans="1:40" ht="18.75" customHeight="1" x14ac:dyDescent="0.1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c r="AA606" s="6"/>
      <c r="AB606" s="6"/>
      <c r="AC606" s="6"/>
      <c r="AD606" s="6"/>
      <c r="AE606" s="6"/>
      <c r="AF606" s="6"/>
      <c r="AG606" s="6"/>
      <c r="AH606" s="6"/>
      <c r="AI606" s="6"/>
      <c r="AJ606" s="6"/>
      <c r="AK606" s="6"/>
      <c r="AL606" s="6"/>
      <c r="AM606" s="6"/>
      <c r="AN606" s="6"/>
    </row>
    <row r="607" spans="1:40" ht="18.75" customHeight="1" x14ac:dyDescent="0.1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c r="AA607" s="6"/>
      <c r="AB607" s="6"/>
      <c r="AC607" s="6"/>
      <c r="AD607" s="6"/>
      <c r="AE607" s="6"/>
      <c r="AF607" s="6"/>
      <c r="AG607" s="6"/>
      <c r="AH607" s="6"/>
      <c r="AI607" s="6"/>
      <c r="AJ607" s="6"/>
      <c r="AK607" s="6"/>
      <c r="AL607" s="6"/>
      <c r="AM607" s="6"/>
      <c r="AN607" s="6"/>
    </row>
    <row r="608" spans="1:40" ht="18.75" customHeight="1" x14ac:dyDescent="0.1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c r="AA608" s="6"/>
      <c r="AB608" s="6"/>
      <c r="AC608" s="6"/>
      <c r="AD608" s="6"/>
      <c r="AE608" s="6"/>
      <c r="AF608" s="6"/>
      <c r="AG608" s="6"/>
      <c r="AH608" s="6"/>
      <c r="AI608" s="6"/>
      <c r="AJ608" s="6"/>
      <c r="AK608" s="6"/>
      <c r="AL608" s="6"/>
      <c r="AM608" s="6"/>
      <c r="AN608" s="6"/>
    </row>
    <row r="609" spans="1:40" ht="18.75" customHeight="1" x14ac:dyDescent="0.1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c r="AA609" s="6"/>
      <c r="AB609" s="6"/>
      <c r="AC609" s="6"/>
      <c r="AD609" s="6"/>
      <c r="AE609" s="6"/>
      <c r="AF609" s="6"/>
      <c r="AG609" s="6"/>
      <c r="AH609" s="6"/>
      <c r="AI609" s="6"/>
      <c r="AJ609" s="6"/>
      <c r="AK609" s="6"/>
      <c r="AL609" s="6"/>
      <c r="AM609" s="6"/>
      <c r="AN609" s="6"/>
    </row>
    <row r="610" spans="1:40" ht="18.75" customHeight="1" x14ac:dyDescent="0.1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c r="AA610" s="6"/>
      <c r="AB610" s="6"/>
      <c r="AC610" s="6"/>
      <c r="AD610" s="6"/>
      <c r="AE610" s="6"/>
      <c r="AF610" s="6"/>
      <c r="AG610" s="6"/>
      <c r="AH610" s="6"/>
      <c r="AI610" s="6"/>
      <c r="AJ610" s="6"/>
      <c r="AK610" s="6"/>
      <c r="AL610" s="6"/>
      <c r="AM610" s="6"/>
      <c r="AN610" s="6"/>
    </row>
    <row r="611" spans="1:40" ht="18.75" customHeight="1" x14ac:dyDescent="0.1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c r="AA611" s="6"/>
      <c r="AB611" s="6"/>
      <c r="AC611" s="6"/>
      <c r="AD611" s="6"/>
      <c r="AE611" s="6"/>
      <c r="AF611" s="6"/>
      <c r="AG611" s="6"/>
      <c r="AH611" s="6"/>
      <c r="AI611" s="6"/>
      <c r="AJ611" s="6"/>
      <c r="AK611" s="6"/>
      <c r="AL611" s="6"/>
      <c r="AM611" s="6"/>
      <c r="AN611" s="6"/>
    </row>
    <row r="612" spans="1:40" ht="18.75" customHeight="1" x14ac:dyDescent="0.1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c r="AA612" s="6"/>
      <c r="AB612" s="6"/>
      <c r="AC612" s="6"/>
      <c r="AD612" s="6"/>
      <c r="AE612" s="6"/>
      <c r="AF612" s="6"/>
      <c r="AG612" s="6"/>
      <c r="AH612" s="6"/>
      <c r="AI612" s="6"/>
      <c r="AJ612" s="6"/>
      <c r="AK612" s="6"/>
      <c r="AL612" s="6"/>
      <c r="AM612" s="6"/>
      <c r="AN612" s="6"/>
    </row>
    <row r="613" spans="1:40" ht="18.75" customHeight="1" x14ac:dyDescent="0.1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c r="AA613" s="6"/>
      <c r="AB613" s="6"/>
      <c r="AC613" s="6"/>
      <c r="AD613" s="6"/>
      <c r="AE613" s="6"/>
      <c r="AF613" s="6"/>
      <c r="AG613" s="6"/>
      <c r="AH613" s="6"/>
      <c r="AI613" s="6"/>
      <c r="AJ613" s="6"/>
      <c r="AK613" s="6"/>
      <c r="AL613" s="6"/>
      <c r="AM613" s="6"/>
      <c r="AN613" s="6"/>
    </row>
    <row r="614" spans="1:40" ht="18.75" customHeight="1" x14ac:dyDescent="0.1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c r="AA614" s="6"/>
      <c r="AB614" s="6"/>
      <c r="AC614" s="6"/>
      <c r="AD614" s="6"/>
      <c r="AE614" s="6"/>
      <c r="AF614" s="6"/>
      <c r="AG614" s="6"/>
      <c r="AH614" s="6"/>
      <c r="AI614" s="6"/>
      <c r="AJ614" s="6"/>
      <c r="AK614" s="6"/>
      <c r="AL614" s="6"/>
      <c r="AM614" s="6"/>
      <c r="AN614" s="6"/>
    </row>
    <row r="615" spans="1:40" ht="18.75" customHeight="1" x14ac:dyDescent="0.1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c r="AA615" s="6"/>
      <c r="AB615" s="6"/>
      <c r="AC615" s="6"/>
      <c r="AD615" s="6"/>
      <c r="AE615" s="6"/>
      <c r="AF615" s="6"/>
      <c r="AG615" s="6"/>
      <c r="AH615" s="6"/>
      <c r="AI615" s="6"/>
      <c r="AJ615" s="6"/>
      <c r="AK615" s="6"/>
      <c r="AL615" s="6"/>
      <c r="AM615" s="6"/>
      <c r="AN615" s="6"/>
    </row>
    <row r="616" spans="1:40" ht="18.75" customHeight="1" x14ac:dyDescent="0.1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c r="AA616" s="6"/>
      <c r="AB616" s="6"/>
      <c r="AC616" s="6"/>
      <c r="AD616" s="6"/>
      <c r="AE616" s="6"/>
      <c r="AF616" s="6"/>
      <c r="AG616" s="6"/>
      <c r="AH616" s="6"/>
      <c r="AI616" s="6"/>
      <c r="AJ616" s="6"/>
      <c r="AK616" s="6"/>
      <c r="AL616" s="6"/>
      <c r="AM616" s="6"/>
      <c r="AN616" s="6"/>
    </row>
    <row r="617" spans="1:40" ht="18.75" customHeight="1" x14ac:dyDescent="0.1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c r="AA617" s="6"/>
      <c r="AB617" s="6"/>
      <c r="AC617" s="6"/>
      <c r="AD617" s="6"/>
      <c r="AE617" s="6"/>
      <c r="AF617" s="6"/>
      <c r="AG617" s="6"/>
      <c r="AH617" s="6"/>
      <c r="AI617" s="6"/>
      <c r="AJ617" s="6"/>
      <c r="AK617" s="6"/>
      <c r="AL617" s="6"/>
      <c r="AM617" s="6"/>
      <c r="AN617" s="6"/>
    </row>
    <row r="618" spans="1:40" ht="18.75" customHeight="1" x14ac:dyDescent="0.1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c r="AA618" s="6"/>
      <c r="AB618" s="6"/>
      <c r="AC618" s="6"/>
      <c r="AD618" s="6"/>
      <c r="AE618" s="6"/>
      <c r="AF618" s="6"/>
      <c r="AG618" s="6"/>
      <c r="AH618" s="6"/>
      <c r="AI618" s="6"/>
      <c r="AJ618" s="6"/>
      <c r="AK618" s="6"/>
      <c r="AL618" s="6"/>
      <c r="AM618" s="6"/>
      <c r="AN618" s="6"/>
    </row>
    <row r="619" spans="1:40" ht="18.75" customHeight="1" x14ac:dyDescent="0.1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c r="AA619" s="6"/>
      <c r="AB619" s="6"/>
      <c r="AC619" s="6"/>
      <c r="AD619" s="6"/>
      <c r="AE619" s="6"/>
      <c r="AF619" s="6"/>
      <c r="AG619" s="6"/>
      <c r="AH619" s="6"/>
      <c r="AI619" s="6"/>
      <c r="AJ619" s="6"/>
      <c r="AK619" s="6"/>
      <c r="AL619" s="6"/>
      <c r="AM619" s="6"/>
      <c r="AN619" s="6"/>
    </row>
    <row r="620" spans="1:40" ht="18.75" customHeight="1" x14ac:dyDescent="0.1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c r="AA620" s="6"/>
      <c r="AB620" s="6"/>
      <c r="AC620" s="6"/>
      <c r="AD620" s="6"/>
      <c r="AE620" s="6"/>
      <c r="AF620" s="6"/>
      <c r="AG620" s="6"/>
      <c r="AH620" s="6"/>
      <c r="AI620" s="6"/>
      <c r="AJ620" s="6"/>
      <c r="AK620" s="6"/>
      <c r="AL620" s="6"/>
      <c r="AM620" s="6"/>
      <c r="AN620" s="6"/>
    </row>
    <row r="621" spans="1:40" ht="18.75" customHeight="1" x14ac:dyDescent="0.1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c r="AA621" s="6"/>
      <c r="AB621" s="6"/>
      <c r="AC621" s="6"/>
      <c r="AD621" s="6"/>
      <c r="AE621" s="6"/>
      <c r="AF621" s="6"/>
      <c r="AG621" s="6"/>
      <c r="AH621" s="6"/>
      <c r="AI621" s="6"/>
      <c r="AJ621" s="6"/>
      <c r="AK621" s="6"/>
      <c r="AL621" s="6"/>
      <c r="AM621" s="6"/>
      <c r="AN621" s="6"/>
    </row>
    <row r="622" spans="1:40" ht="18.75" customHeight="1" x14ac:dyDescent="0.1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c r="AA622" s="6"/>
      <c r="AB622" s="6"/>
      <c r="AC622" s="6"/>
      <c r="AD622" s="6"/>
      <c r="AE622" s="6"/>
      <c r="AF622" s="6"/>
      <c r="AG622" s="6"/>
      <c r="AH622" s="6"/>
      <c r="AI622" s="6"/>
      <c r="AJ622" s="6"/>
      <c r="AK622" s="6"/>
      <c r="AL622" s="6"/>
      <c r="AM622" s="6"/>
      <c r="AN622" s="6"/>
    </row>
    <row r="623" spans="1:40" ht="18.75" customHeight="1" x14ac:dyDescent="0.1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c r="AA623" s="6"/>
      <c r="AB623" s="6"/>
      <c r="AC623" s="6"/>
      <c r="AD623" s="6"/>
      <c r="AE623" s="6"/>
      <c r="AF623" s="6"/>
      <c r="AG623" s="6"/>
      <c r="AH623" s="6"/>
      <c r="AI623" s="6"/>
      <c r="AJ623" s="6"/>
      <c r="AK623" s="6"/>
      <c r="AL623" s="6"/>
      <c r="AM623" s="6"/>
      <c r="AN623" s="6"/>
    </row>
    <row r="624" spans="1:40" ht="18.75" customHeight="1" x14ac:dyDescent="0.1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c r="AA624" s="6"/>
      <c r="AB624" s="6"/>
      <c r="AC624" s="6"/>
      <c r="AD624" s="6"/>
      <c r="AE624" s="6"/>
      <c r="AF624" s="6"/>
      <c r="AG624" s="6"/>
      <c r="AH624" s="6"/>
      <c r="AI624" s="6"/>
      <c r="AJ624" s="6"/>
      <c r="AK624" s="6"/>
      <c r="AL624" s="6"/>
      <c r="AM624" s="6"/>
      <c r="AN624" s="6"/>
    </row>
    <row r="625" spans="1:40" ht="18.75" customHeight="1" x14ac:dyDescent="0.1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c r="AA625" s="6"/>
      <c r="AB625" s="6"/>
      <c r="AC625" s="6"/>
      <c r="AD625" s="6"/>
      <c r="AE625" s="6"/>
      <c r="AF625" s="6"/>
      <c r="AG625" s="6"/>
      <c r="AH625" s="6"/>
      <c r="AI625" s="6"/>
      <c r="AJ625" s="6"/>
      <c r="AK625" s="6"/>
      <c r="AL625" s="6"/>
      <c r="AM625" s="6"/>
      <c r="AN625" s="6"/>
    </row>
    <row r="626" spans="1:40" ht="18.75" customHeight="1" x14ac:dyDescent="0.1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c r="AA626" s="6"/>
      <c r="AB626" s="6"/>
      <c r="AC626" s="6"/>
      <c r="AD626" s="6"/>
      <c r="AE626" s="6"/>
      <c r="AF626" s="6"/>
      <c r="AG626" s="6"/>
      <c r="AH626" s="6"/>
      <c r="AI626" s="6"/>
      <c r="AJ626" s="6"/>
      <c r="AK626" s="6"/>
      <c r="AL626" s="6"/>
      <c r="AM626" s="6"/>
      <c r="AN626" s="6"/>
    </row>
    <row r="627" spans="1:40" ht="18.75" customHeight="1" x14ac:dyDescent="0.1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c r="AA627" s="6"/>
      <c r="AB627" s="6"/>
      <c r="AC627" s="6"/>
      <c r="AD627" s="6"/>
      <c r="AE627" s="6"/>
      <c r="AF627" s="6"/>
      <c r="AG627" s="6"/>
      <c r="AH627" s="6"/>
      <c r="AI627" s="6"/>
      <c r="AJ627" s="6"/>
      <c r="AK627" s="6"/>
      <c r="AL627" s="6"/>
      <c r="AM627" s="6"/>
      <c r="AN627" s="6"/>
    </row>
    <row r="628" spans="1:40" ht="18.75" customHeight="1" x14ac:dyDescent="0.1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c r="AA628" s="6"/>
      <c r="AB628" s="6"/>
      <c r="AC628" s="6"/>
      <c r="AD628" s="6"/>
      <c r="AE628" s="6"/>
      <c r="AF628" s="6"/>
      <c r="AG628" s="6"/>
      <c r="AH628" s="6"/>
      <c r="AI628" s="6"/>
      <c r="AJ628" s="6"/>
      <c r="AK628" s="6"/>
      <c r="AL628" s="6"/>
      <c r="AM628" s="6"/>
      <c r="AN628" s="6"/>
    </row>
    <row r="629" spans="1:40" ht="18.75" customHeight="1" x14ac:dyDescent="0.1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c r="AA629" s="6"/>
      <c r="AB629" s="6"/>
      <c r="AC629" s="6"/>
      <c r="AD629" s="6"/>
      <c r="AE629" s="6"/>
      <c r="AF629" s="6"/>
      <c r="AG629" s="6"/>
      <c r="AH629" s="6"/>
      <c r="AI629" s="6"/>
      <c r="AJ629" s="6"/>
      <c r="AK629" s="6"/>
      <c r="AL629" s="6"/>
      <c r="AM629" s="6"/>
      <c r="AN629" s="6"/>
    </row>
    <row r="630" spans="1:40" ht="18.75" customHeight="1" x14ac:dyDescent="0.1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c r="AA630" s="6"/>
      <c r="AB630" s="6"/>
      <c r="AC630" s="6"/>
      <c r="AD630" s="6"/>
      <c r="AE630" s="6"/>
      <c r="AF630" s="6"/>
      <c r="AG630" s="6"/>
      <c r="AH630" s="6"/>
      <c r="AI630" s="6"/>
      <c r="AJ630" s="6"/>
      <c r="AK630" s="6"/>
      <c r="AL630" s="6"/>
      <c r="AM630" s="6"/>
      <c r="AN630" s="6"/>
    </row>
    <row r="631" spans="1:40" ht="18.75" customHeight="1" x14ac:dyDescent="0.1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c r="AA631" s="6"/>
      <c r="AB631" s="6"/>
      <c r="AC631" s="6"/>
      <c r="AD631" s="6"/>
      <c r="AE631" s="6"/>
      <c r="AF631" s="6"/>
      <c r="AG631" s="6"/>
      <c r="AH631" s="6"/>
      <c r="AI631" s="6"/>
      <c r="AJ631" s="6"/>
      <c r="AK631" s="6"/>
      <c r="AL631" s="6"/>
      <c r="AM631" s="6"/>
      <c r="AN631" s="6"/>
    </row>
    <row r="632" spans="1:40" ht="18.75" customHeight="1" x14ac:dyDescent="0.1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c r="AA632" s="6"/>
      <c r="AB632" s="6"/>
      <c r="AC632" s="6"/>
      <c r="AD632" s="6"/>
      <c r="AE632" s="6"/>
      <c r="AF632" s="6"/>
      <c r="AG632" s="6"/>
      <c r="AH632" s="6"/>
      <c r="AI632" s="6"/>
      <c r="AJ632" s="6"/>
      <c r="AK632" s="6"/>
      <c r="AL632" s="6"/>
      <c r="AM632" s="6"/>
      <c r="AN632" s="6"/>
    </row>
    <row r="633" spans="1:40" ht="18.75" customHeight="1" x14ac:dyDescent="0.1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c r="AA633" s="6"/>
      <c r="AB633" s="6"/>
      <c r="AC633" s="6"/>
      <c r="AD633" s="6"/>
      <c r="AE633" s="6"/>
      <c r="AF633" s="6"/>
      <c r="AG633" s="6"/>
      <c r="AH633" s="6"/>
      <c r="AI633" s="6"/>
      <c r="AJ633" s="6"/>
      <c r="AK633" s="6"/>
      <c r="AL633" s="6"/>
      <c r="AM633" s="6"/>
      <c r="AN633" s="6"/>
    </row>
    <row r="634" spans="1:40" ht="18.75" customHeight="1" x14ac:dyDescent="0.1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c r="AA634" s="6"/>
      <c r="AB634" s="6"/>
      <c r="AC634" s="6"/>
      <c r="AD634" s="6"/>
      <c r="AE634" s="6"/>
      <c r="AF634" s="6"/>
      <c r="AG634" s="6"/>
      <c r="AH634" s="6"/>
      <c r="AI634" s="6"/>
      <c r="AJ634" s="6"/>
      <c r="AK634" s="6"/>
      <c r="AL634" s="6"/>
      <c r="AM634" s="6"/>
      <c r="AN634" s="6"/>
    </row>
    <row r="635" spans="1:40" ht="18.75" customHeight="1" x14ac:dyDescent="0.1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c r="AA635" s="6"/>
      <c r="AB635" s="6"/>
      <c r="AC635" s="6"/>
      <c r="AD635" s="6"/>
      <c r="AE635" s="6"/>
      <c r="AF635" s="6"/>
      <c r="AG635" s="6"/>
      <c r="AH635" s="6"/>
      <c r="AI635" s="6"/>
      <c r="AJ635" s="6"/>
      <c r="AK635" s="6"/>
      <c r="AL635" s="6"/>
      <c r="AM635" s="6"/>
      <c r="AN635" s="6"/>
    </row>
    <row r="636" spans="1:40" ht="18.75" customHeight="1" x14ac:dyDescent="0.1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c r="AA636" s="6"/>
      <c r="AB636" s="6"/>
      <c r="AC636" s="6"/>
      <c r="AD636" s="6"/>
      <c r="AE636" s="6"/>
      <c r="AF636" s="6"/>
      <c r="AG636" s="6"/>
      <c r="AH636" s="6"/>
      <c r="AI636" s="6"/>
      <c r="AJ636" s="6"/>
      <c r="AK636" s="6"/>
      <c r="AL636" s="6"/>
      <c r="AM636" s="6"/>
      <c r="AN636" s="6"/>
    </row>
    <row r="637" spans="1:40" ht="18.75" customHeight="1" x14ac:dyDescent="0.1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c r="AA637" s="6"/>
      <c r="AB637" s="6"/>
      <c r="AC637" s="6"/>
      <c r="AD637" s="6"/>
      <c r="AE637" s="6"/>
      <c r="AF637" s="6"/>
      <c r="AG637" s="6"/>
      <c r="AH637" s="6"/>
      <c r="AI637" s="6"/>
      <c r="AJ637" s="6"/>
      <c r="AK637" s="6"/>
      <c r="AL637" s="6"/>
      <c r="AM637" s="6"/>
      <c r="AN637" s="6"/>
    </row>
    <row r="638" spans="1:40" ht="18.75" customHeight="1" x14ac:dyDescent="0.1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c r="AA638" s="6"/>
      <c r="AB638" s="6"/>
      <c r="AC638" s="6"/>
      <c r="AD638" s="6"/>
      <c r="AE638" s="6"/>
      <c r="AF638" s="6"/>
      <c r="AG638" s="6"/>
      <c r="AH638" s="6"/>
      <c r="AI638" s="6"/>
      <c r="AJ638" s="6"/>
      <c r="AK638" s="6"/>
      <c r="AL638" s="6"/>
      <c r="AM638" s="6"/>
      <c r="AN638" s="6"/>
    </row>
    <row r="639" spans="1:40" ht="18.75" customHeight="1" x14ac:dyDescent="0.1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c r="AA639" s="6"/>
      <c r="AB639" s="6"/>
      <c r="AC639" s="6"/>
      <c r="AD639" s="6"/>
      <c r="AE639" s="6"/>
      <c r="AF639" s="6"/>
      <c r="AG639" s="6"/>
      <c r="AH639" s="6"/>
      <c r="AI639" s="6"/>
      <c r="AJ639" s="6"/>
      <c r="AK639" s="6"/>
      <c r="AL639" s="6"/>
      <c r="AM639" s="6"/>
      <c r="AN639" s="6"/>
    </row>
    <row r="640" spans="1:40" ht="18.75" customHeight="1" x14ac:dyDescent="0.1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c r="AA640" s="6"/>
      <c r="AB640" s="6"/>
      <c r="AC640" s="6"/>
      <c r="AD640" s="6"/>
      <c r="AE640" s="6"/>
      <c r="AF640" s="6"/>
      <c r="AG640" s="6"/>
      <c r="AH640" s="6"/>
      <c r="AI640" s="6"/>
      <c r="AJ640" s="6"/>
      <c r="AK640" s="6"/>
      <c r="AL640" s="6"/>
      <c r="AM640" s="6"/>
      <c r="AN640" s="6"/>
    </row>
    <row r="641" spans="1:40" ht="18.75" customHeight="1" x14ac:dyDescent="0.1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c r="AA641" s="6"/>
      <c r="AB641" s="6"/>
      <c r="AC641" s="6"/>
      <c r="AD641" s="6"/>
      <c r="AE641" s="6"/>
      <c r="AF641" s="6"/>
      <c r="AG641" s="6"/>
      <c r="AH641" s="6"/>
      <c r="AI641" s="6"/>
      <c r="AJ641" s="6"/>
      <c r="AK641" s="6"/>
      <c r="AL641" s="6"/>
      <c r="AM641" s="6"/>
      <c r="AN641" s="6"/>
    </row>
    <row r="642" spans="1:40" ht="18.75" customHeight="1" x14ac:dyDescent="0.1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c r="AA642" s="6"/>
      <c r="AB642" s="6"/>
      <c r="AC642" s="6"/>
      <c r="AD642" s="6"/>
      <c r="AE642" s="6"/>
      <c r="AF642" s="6"/>
      <c r="AG642" s="6"/>
      <c r="AH642" s="6"/>
      <c r="AI642" s="6"/>
      <c r="AJ642" s="6"/>
      <c r="AK642" s="6"/>
      <c r="AL642" s="6"/>
      <c r="AM642" s="6"/>
      <c r="AN642" s="6"/>
    </row>
    <row r="643" spans="1:40" ht="18.75" customHeight="1" x14ac:dyDescent="0.1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c r="AA643" s="6"/>
      <c r="AB643" s="6"/>
      <c r="AC643" s="6"/>
      <c r="AD643" s="6"/>
      <c r="AE643" s="6"/>
      <c r="AF643" s="6"/>
      <c r="AG643" s="6"/>
      <c r="AH643" s="6"/>
      <c r="AI643" s="6"/>
      <c r="AJ643" s="6"/>
      <c r="AK643" s="6"/>
      <c r="AL643" s="6"/>
      <c r="AM643" s="6"/>
      <c r="AN643" s="6"/>
    </row>
    <row r="644" spans="1:40" ht="18.75" customHeight="1" x14ac:dyDescent="0.1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c r="AA644" s="6"/>
      <c r="AB644" s="6"/>
      <c r="AC644" s="6"/>
      <c r="AD644" s="6"/>
      <c r="AE644" s="6"/>
      <c r="AF644" s="6"/>
      <c r="AG644" s="6"/>
      <c r="AH644" s="6"/>
      <c r="AI644" s="6"/>
      <c r="AJ644" s="6"/>
      <c r="AK644" s="6"/>
      <c r="AL644" s="6"/>
      <c r="AM644" s="6"/>
      <c r="AN644" s="6"/>
    </row>
    <row r="645" spans="1:40" ht="18.75" customHeight="1" x14ac:dyDescent="0.1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c r="AA645" s="6"/>
      <c r="AB645" s="6"/>
      <c r="AC645" s="6"/>
      <c r="AD645" s="6"/>
      <c r="AE645" s="6"/>
      <c r="AF645" s="6"/>
      <c r="AG645" s="6"/>
      <c r="AH645" s="6"/>
      <c r="AI645" s="6"/>
      <c r="AJ645" s="6"/>
      <c r="AK645" s="6"/>
      <c r="AL645" s="6"/>
      <c r="AM645" s="6"/>
      <c r="AN645" s="6"/>
    </row>
    <row r="646" spans="1:40" ht="18.75" customHeight="1" x14ac:dyDescent="0.1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c r="AA646" s="6"/>
      <c r="AB646" s="6"/>
      <c r="AC646" s="6"/>
      <c r="AD646" s="6"/>
      <c r="AE646" s="6"/>
      <c r="AF646" s="6"/>
      <c r="AG646" s="6"/>
      <c r="AH646" s="6"/>
      <c r="AI646" s="6"/>
      <c r="AJ646" s="6"/>
      <c r="AK646" s="6"/>
      <c r="AL646" s="6"/>
      <c r="AM646" s="6"/>
      <c r="AN646" s="6"/>
    </row>
    <row r="647" spans="1:40" ht="18.75" customHeight="1" x14ac:dyDescent="0.1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c r="AA647" s="6"/>
      <c r="AB647" s="6"/>
      <c r="AC647" s="6"/>
      <c r="AD647" s="6"/>
      <c r="AE647" s="6"/>
      <c r="AF647" s="6"/>
      <c r="AG647" s="6"/>
      <c r="AH647" s="6"/>
      <c r="AI647" s="6"/>
      <c r="AJ647" s="6"/>
      <c r="AK647" s="6"/>
      <c r="AL647" s="6"/>
      <c r="AM647" s="6"/>
      <c r="AN647" s="6"/>
    </row>
    <row r="648" spans="1:40" ht="18.75" customHeight="1" x14ac:dyDescent="0.1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c r="AA648" s="6"/>
      <c r="AB648" s="6"/>
      <c r="AC648" s="6"/>
      <c r="AD648" s="6"/>
      <c r="AE648" s="6"/>
      <c r="AF648" s="6"/>
      <c r="AG648" s="6"/>
      <c r="AH648" s="6"/>
      <c r="AI648" s="6"/>
      <c r="AJ648" s="6"/>
      <c r="AK648" s="6"/>
      <c r="AL648" s="6"/>
      <c r="AM648" s="6"/>
      <c r="AN648" s="6"/>
    </row>
    <row r="649" spans="1:40" ht="18.75" customHeight="1" x14ac:dyDescent="0.1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c r="AA649" s="6"/>
      <c r="AB649" s="6"/>
      <c r="AC649" s="6"/>
      <c r="AD649" s="6"/>
      <c r="AE649" s="6"/>
      <c r="AF649" s="6"/>
      <c r="AG649" s="6"/>
      <c r="AH649" s="6"/>
      <c r="AI649" s="6"/>
      <c r="AJ649" s="6"/>
      <c r="AK649" s="6"/>
      <c r="AL649" s="6"/>
      <c r="AM649" s="6"/>
      <c r="AN649" s="6"/>
    </row>
    <row r="650" spans="1:40" ht="18.75" customHeight="1" x14ac:dyDescent="0.1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c r="AA650" s="6"/>
      <c r="AB650" s="6"/>
      <c r="AC650" s="6"/>
      <c r="AD650" s="6"/>
      <c r="AE650" s="6"/>
      <c r="AF650" s="6"/>
      <c r="AG650" s="6"/>
      <c r="AH650" s="6"/>
      <c r="AI650" s="6"/>
      <c r="AJ650" s="6"/>
      <c r="AK650" s="6"/>
      <c r="AL650" s="6"/>
      <c r="AM650" s="6"/>
      <c r="AN650" s="6"/>
    </row>
    <row r="651" spans="1:40" ht="18.75" customHeight="1" x14ac:dyDescent="0.1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c r="AA651" s="6"/>
      <c r="AB651" s="6"/>
      <c r="AC651" s="6"/>
      <c r="AD651" s="6"/>
      <c r="AE651" s="6"/>
      <c r="AF651" s="6"/>
      <c r="AG651" s="6"/>
      <c r="AH651" s="6"/>
      <c r="AI651" s="6"/>
      <c r="AJ651" s="6"/>
      <c r="AK651" s="6"/>
      <c r="AL651" s="6"/>
      <c r="AM651" s="6"/>
      <c r="AN651" s="6"/>
    </row>
    <row r="652" spans="1:40" ht="18.75" customHeight="1" x14ac:dyDescent="0.1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c r="AA652" s="6"/>
      <c r="AB652" s="6"/>
      <c r="AC652" s="6"/>
      <c r="AD652" s="6"/>
      <c r="AE652" s="6"/>
      <c r="AF652" s="6"/>
      <c r="AG652" s="6"/>
      <c r="AH652" s="6"/>
      <c r="AI652" s="6"/>
      <c r="AJ652" s="6"/>
      <c r="AK652" s="6"/>
      <c r="AL652" s="6"/>
      <c r="AM652" s="6"/>
      <c r="AN652" s="6"/>
    </row>
    <row r="653" spans="1:40" ht="18.75" customHeight="1" x14ac:dyDescent="0.1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c r="AA653" s="6"/>
      <c r="AB653" s="6"/>
      <c r="AC653" s="6"/>
      <c r="AD653" s="6"/>
      <c r="AE653" s="6"/>
      <c r="AF653" s="6"/>
      <c r="AG653" s="6"/>
      <c r="AH653" s="6"/>
      <c r="AI653" s="6"/>
      <c r="AJ653" s="6"/>
      <c r="AK653" s="6"/>
      <c r="AL653" s="6"/>
      <c r="AM653" s="6"/>
      <c r="AN653" s="6"/>
    </row>
    <row r="654" spans="1:40" ht="18.75" customHeight="1" x14ac:dyDescent="0.1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c r="AA654" s="6"/>
      <c r="AB654" s="6"/>
      <c r="AC654" s="6"/>
      <c r="AD654" s="6"/>
      <c r="AE654" s="6"/>
      <c r="AF654" s="6"/>
      <c r="AG654" s="6"/>
      <c r="AH654" s="6"/>
      <c r="AI654" s="6"/>
      <c r="AJ654" s="6"/>
      <c r="AK654" s="6"/>
      <c r="AL654" s="6"/>
      <c r="AM654" s="6"/>
      <c r="AN654" s="6"/>
    </row>
    <row r="655" spans="1:40" ht="18.75" customHeight="1" x14ac:dyDescent="0.1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c r="AA655" s="6"/>
      <c r="AB655" s="6"/>
      <c r="AC655" s="6"/>
      <c r="AD655" s="6"/>
      <c r="AE655" s="6"/>
      <c r="AF655" s="6"/>
      <c r="AG655" s="6"/>
      <c r="AH655" s="6"/>
      <c r="AI655" s="6"/>
      <c r="AJ655" s="6"/>
      <c r="AK655" s="6"/>
      <c r="AL655" s="6"/>
      <c r="AM655" s="6"/>
      <c r="AN655" s="6"/>
    </row>
    <row r="656" spans="1:40" ht="18.75" customHeight="1" x14ac:dyDescent="0.1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c r="AA656" s="6"/>
      <c r="AB656" s="6"/>
      <c r="AC656" s="6"/>
      <c r="AD656" s="6"/>
      <c r="AE656" s="6"/>
      <c r="AF656" s="6"/>
      <c r="AG656" s="6"/>
      <c r="AH656" s="6"/>
      <c r="AI656" s="6"/>
      <c r="AJ656" s="6"/>
      <c r="AK656" s="6"/>
      <c r="AL656" s="6"/>
      <c r="AM656" s="6"/>
      <c r="AN656" s="6"/>
    </row>
    <row r="657" spans="1:40" ht="18.75" customHeight="1" x14ac:dyDescent="0.1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c r="AA657" s="6"/>
      <c r="AB657" s="6"/>
      <c r="AC657" s="6"/>
      <c r="AD657" s="6"/>
      <c r="AE657" s="6"/>
      <c r="AF657" s="6"/>
      <c r="AG657" s="6"/>
      <c r="AH657" s="6"/>
      <c r="AI657" s="6"/>
      <c r="AJ657" s="6"/>
      <c r="AK657" s="6"/>
      <c r="AL657" s="6"/>
      <c r="AM657" s="6"/>
      <c r="AN657" s="6"/>
    </row>
    <row r="658" spans="1:40" ht="18.75" customHeight="1" x14ac:dyDescent="0.1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c r="AA658" s="6"/>
      <c r="AB658" s="6"/>
      <c r="AC658" s="6"/>
      <c r="AD658" s="6"/>
      <c r="AE658" s="6"/>
      <c r="AF658" s="6"/>
      <c r="AG658" s="6"/>
      <c r="AH658" s="6"/>
      <c r="AI658" s="6"/>
      <c r="AJ658" s="6"/>
      <c r="AK658" s="6"/>
      <c r="AL658" s="6"/>
      <c r="AM658" s="6"/>
      <c r="AN658" s="6"/>
    </row>
    <row r="659" spans="1:40" ht="18.75" customHeight="1" x14ac:dyDescent="0.1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c r="AA659" s="6"/>
      <c r="AB659" s="6"/>
      <c r="AC659" s="6"/>
      <c r="AD659" s="6"/>
      <c r="AE659" s="6"/>
      <c r="AF659" s="6"/>
      <c r="AG659" s="6"/>
      <c r="AH659" s="6"/>
      <c r="AI659" s="6"/>
      <c r="AJ659" s="6"/>
      <c r="AK659" s="6"/>
      <c r="AL659" s="6"/>
      <c r="AM659" s="6"/>
      <c r="AN659" s="6"/>
    </row>
    <row r="660" spans="1:40" ht="18.75" customHeight="1" x14ac:dyDescent="0.1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c r="AA660" s="6"/>
      <c r="AB660" s="6"/>
      <c r="AC660" s="6"/>
      <c r="AD660" s="6"/>
      <c r="AE660" s="6"/>
      <c r="AF660" s="6"/>
      <c r="AG660" s="6"/>
      <c r="AH660" s="6"/>
      <c r="AI660" s="6"/>
      <c r="AJ660" s="6"/>
      <c r="AK660" s="6"/>
      <c r="AL660" s="6"/>
      <c r="AM660" s="6"/>
      <c r="AN660" s="6"/>
    </row>
    <row r="661" spans="1:40" ht="18.75" customHeight="1" x14ac:dyDescent="0.1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c r="AA661" s="6"/>
      <c r="AB661" s="6"/>
      <c r="AC661" s="6"/>
      <c r="AD661" s="6"/>
      <c r="AE661" s="6"/>
      <c r="AF661" s="6"/>
      <c r="AG661" s="6"/>
      <c r="AH661" s="6"/>
      <c r="AI661" s="6"/>
      <c r="AJ661" s="6"/>
      <c r="AK661" s="6"/>
      <c r="AL661" s="6"/>
      <c r="AM661" s="6"/>
      <c r="AN661" s="6"/>
    </row>
    <row r="662" spans="1:40" ht="18.75" customHeight="1" x14ac:dyDescent="0.1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c r="AA662" s="6"/>
      <c r="AB662" s="6"/>
      <c r="AC662" s="6"/>
      <c r="AD662" s="6"/>
      <c r="AE662" s="6"/>
      <c r="AF662" s="6"/>
      <c r="AG662" s="6"/>
      <c r="AH662" s="6"/>
      <c r="AI662" s="6"/>
      <c r="AJ662" s="6"/>
      <c r="AK662" s="6"/>
      <c r="AL662" s="6"/>
      <c r="AM662" s="6"/>
      <c r="AN662" s="6"/>
    </row>
    <row r="663" spans="1:40" ht="18.75" customHeight="1" x14ac:dyDescent="0.1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c r="AA663" s="6"/>
      <c r="AB663" s="6"/>
      <c r="AC663" s="6"/>
      <c r="AD663" s="6"/>
      <c r="AE663" s="6"/>
      <c r="AF663" s="6"/>
      <c r="AG663" s="6"/>
      <c r="AH663" s="6"/>
      <c r="AI663" s="6"/>
      <c r="AJ663" s="6"/>
      <c r="AK663" s="6"/>
      <c r="AL663" s="6"/>
      <c r="AM663" s="6"/>
      <c r="AN663" s="6"/>
    </row>
    <row r="664" spans="1:40" ht="18.75" customHeight="1" x14ac:dyDescent="0.1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c r="AA664" s="6"/>
      <c r="AB664" s="6"/>
      <c r="AC664" s="6"/>
      <c r="AD664" s="6"/>
      <c r="AE664" s="6"/>
      <c r="AF664" s="6"/>
      <c r="AG664" s="6"/>
      <c r="AH664" s="6"/>
      <c r="AI664" s="6"/>
      <c r="AJ664" s="6"/>
      <c r="AK664" s="6"/>
      <c r="AL664" s="6"/>
      <c r="AM664" s="6"/>
      <c r="AN664" s="6"/>
    </row>
    <row r="665" spans="1:40" ht="18.75" customHeight="1" x14ac:dyDescent="0.1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c r="AA665" s="6"/>
      <c r="AB665" s="6"/>
      <c r="AC665" s="6"/>
      <c r="AD665" s="6"/>
      <c r="AE665" s="6"/>
      <c r="AF665" s="6"/>
      <c r="AG665" s="6"/>
      <c r="AH665" s="6"/>
      <c r="AI665" s="6"/>
      <c r="AJ665" s="6"/>
      <c r="AK665" s="6"/>
      <c r="AL665" s="6"/>
      <c r="AM665" s="6"/>
      <c r="AN665" s="6"/>
    </row>
    <row r="666" spans="1:40" ht="18.75" customHeight="1" x14ac:dyDescent="0.1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c r="AA666" s="6"/>
      <c r="AB666" s="6"/>
      <c r="AC666" s="6"/>
      <c r="AD666" s="6"/>
      <c r="AE666" s="6"/>
      <c r="AF666" s="6"/>
      <c r="AG666" s="6"/>
      <c r="AH666" s="6"/>
      <c r="AI666" s="6"/>
      <c r="AJ666" s="6"/>
      <c r="AK666" s="6"/>
      <c r="AL666" s="6"/>
      <c r="AM666" s="6"/>
      <c r="AN666" s="6"/>
    </row>
    <row r="667" spans="1:40" ht="18.75" customHeight="1" x14ac:dyDescent="0.1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c r="AA667" s="6"/>
      <c r="AB667" s="6"/>
      <c r="AC667" s="6"/>
      <c r="AD667" s="6"/>
      <c r="AE667" s="6"/>
      <c r="AF667" s="6"/>
      <c r="AG667" s="6"/>
      <c r="AH667" s="6"/>
      <c r="AI667" s="6"/>
      <c r="AJ667" s="6"/>
      <c r="AK667" s="6"/>
      <c r="AL667" s="6"/>
      <c r="AM667" s="6"/>
      <c r="AN667" s="6"/>
    </row>
    <row r="668" spans="1:40" ht="18.75" customHeight="1" x14ac:dyDescent="0.1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c r="AA668" s="6"/>
      <c r="AB668" s="6"/>
      <c r="AC668" s="6"/>
      <c r="AD668" s="6"/>
      <c r="AE668" s="6"/>
      <c r="AF668" s="6"/>
      <c r="AG668" s="6"/>
      <c r="AH668" s="6"/>
      <c r="AI668" s="6"/>
      <c r="AJ668" s="6"/>
      <c r="AK668" s="6"/>
      <c r="AL668" s="6"/>
      <c r="AM668" s="6"/>
      <c r="AN668" s="6"/>
    </row>
    <row r="669" spans="1:40" ht="18.75" customHeight="1" x14ac:dyDescent="0.1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c r="AA669" s="6"/>
      <c r="AB669" s="6"/>
      <c r="AC669" s="6"/>
      <c r="AD669" s="6"/>
      <c r="AE669" s="6"/>
      <c r="AF669" s="6"/>
      <c r="AG669" s="6"/>
      <c r="AH669" s="6"/>
      <c r="AI669" s="6"/>
      <c r="AJ669" s="6"/>
      <c r="AK669" s="6"/>
      <c r="AL669" s="6"/>
      <c r="AM669" s="6"/>
      <c r="AN669" s="6"/>
    </row>
    <row r="670" spans="1:40" ht="18.75" customHeight="1" x14ac:dyDescent="0.1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c r="AA670" s="6"/>
      <c r="AB670" s="6"/>
      <c r="AC670" s="6"/>
      <c r="AD670" s="6"/>
      <c r="AE670" s="6"/>
      <c r="AF670" s="6"/>
      <c r="AG670" s="6"/>
      <c r="AH670" s="6"/>
      <c r="AI670" s="6"/>
      <c r="AJ670" s="6"/>
      <c r="AK670" s="6"/>
      <c r="AL670" s="6"/>
      <c r="AM670" s="6"/>
      <c r="AN670" s="6"/>
    </row>
    <row r="671" spans="1:40" ht="18.75" customHeight="1" x14ac:dyDescent="0.1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c r="AA671" s="6"/>
      <c r="AB671" s="6"/>
      <c r="AC671" s="6"/>
      <c r="AD671" s="6"/>
      <c r="AE671" s="6"/>
      <c r="AF671" s="6"/>
      <c r="AG671" s="6"/>
      <c r="AH671" s="6"/>
      <c r="AI671" s="6"/>
      <c r="AJ671" s="6"/>
      <c r="AK671" s="6"/>
      <c r="AL671" s="6"/>
      <c r="AM671" s="6"/>
      <c r="AN671" s="6"/>
    </row>
    <row r="672" spans="1:40" ht="18.75" customHeight="1" x14ac:dyDescent="0.1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c r="AA672" s="6"/>
      <c r="AB672" s="6"/>
      <c r="AC672" s="6"/>
      <c r="AD672" s="6"/>
      <c r="AE672" s="6"/>
      <c r="AF672" s="6"/>
      <c r="AG672" s="6"/>
      <c r="AH672" s="6"/>
      <c r="AI672" s="6"/>
      <c r="AJ672" s="6"/>
      <c r="AK672" s="6"/>
      <c r="AL672" s="6"/>
      <c r="AM672" s="6"/>
      <c r="AN672" s="6"/>
    </row>
    <row r="673" spans="1:40" ht="18.75" customHeight="1" x14ac:dyDescent="0.1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c r="AA673" s="6"/>
      <c r="AB673" s="6"/>
      <c r="AC673" s="6"/>
      <c r="AD673" s="6"/>
      <c r="AE673" s="6"/>
      <c r="AF673" s="6"/>
      <c r="AG673" s="6"/>
      <c r="AH673" s="6"/>
      <c r="AI673" s="6"/>
      <c r="AJ673" s="6"/>
      <c r="AK673" s="6"/>
      <c r="AL673" s="6"/>
      <c r="AM673" s="6"/>
      <c r="AN673" s="6"/>
    </row>
    <row r="674" spans="1:40" ht="18.75" customHeight="1" x14ac:dyDescent="0.1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c r="AA674" s="6"/>
      <c r="AB674" s="6"/>
      <c r="AC674" s="6"/>
      <c r="AD674" s="6"/>
      <c r="AE674" s="6"/>
      <c r="AF674" s="6"/>
      <c r="AG674" s="6"/>
      <c r="AH674" s="6"/>
      <c r="AI674" s="6"/>
      <c r="AJ674" s="6"/>
      <c r="AK674" s="6"/>
      <c r="AL674" s="6"/>
      <c r="AM674" s="6"/>
      <c r="AN674" s="6"/>
    </row>
    <row r="675" spans="1:40" ht="18.75" customHeight="1" x14ac:dyDescent="0.1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c r="AA675" s="6"/>
      <c r="AB675" s="6"/>
      <c r="AC675" s="6"/>
      <c r="AD675" s="6"/>
      <c r="AE675" s="6"/>
      <c r="AF675" s="6"/>
      <c r="AG675" s="6"/>
      <c r="AH675" s="6"/>
      <c r="AI675" s="6"/>
      <c r="AJ675" s="6"/>
      <c r="AK675" s="6"/>
      <c r="AL675" s="6"/>
      <c r="AM675" s="6"/>
      <c r="AN675" s="6"/>
    </row>
    <row r="676" spans="1:40" ht="18.75" customHeight="1" x14ac:dyDescent="0.1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c r="AA676" s="6"/>
      <c r="AB676" s="6"/>
      <c r="AC676" s="6"/>
      <c r="AD676" s="6"/>
      <c r="AE676" s="6"/>
      <c r="AF676" s="6"/>
      <c r="AG676" s="6"/>
      <c r="AH676" s="6"/>
      <c r="AI676" s="6"/>
      <c r="AJ676" s="6"/>
      <c r="AK676" s="6"/>
      <c r="AL676" s="6"/>
      <c r="AM676" s="6"/>
      <c r="AN676" s="6"/>
    </row>
    <row r="677" spans="1:40" ht="18.75" customHeight="1" x14ac:dyDescent="0.1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c r="AA677" s="6"/>
      <c r="AB677" s="6"/>
      <c r="AC677" s="6"/>
      <c r="AD677" s="6"/>
      <c r="AE677" s="6"/>
      <c r="AF677" s="6"/>
      <c r="AG677" s="6"/>
      <c r="AH677" s="6"/>
      <c r="AI677" s="6"/>
      <c r="AJ677" s="6"/>
      <c r="AK677" s="6"/>
      <c r="AL677" s="6"/>
      <c r="AM677" s="6"/>
      <c r="AN677" s="6"/>
    </row>
    <row r="678" spans="1:40" ht="18.75" customHeight="1" x14ac:dyDescent="0.1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c r="AA678" s="6"/>
      <c r="AB678" s="6"/>
      <c r="AC678" s="6"/>
      <c r="AD678" s="6"/>
      <c r="AE678" s="6"/>
      <c r="AF678" s="6"/>
      <c r="AG678" s="6"/>
      <c r="AH678" s="6"/>
      <c r="AI678" s="6"/>
      <c r="AJ678" s="6"/>
      <c r="AK678" s="6"/>
      <c r="AL678" s="6"/>
      <c r="AM678" s="6"/>
      <c r="AN678" s="6"/>
    </row>
    <row r="679" spans="1:40" ht="18.75" customHeight="1" x14ac:dyDescent="0.1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c r="AA679" s="6"/>
      <c r="AB679" s="6"/>
      <c r="AC679" s="6"/>
      <c r="AD679" s="6"/>
      <c r="AE679" s="6"/>
      <c r="AF679" s="6"/>
      <c r="AG679" s="6"/>
      <c r="AH679" s="6"/>
      <c r="AI679" s="6"/>
      <c r="AJ679" s="6"/>
      <c r="AK679" s="6"/>
      <c r="AL679" s="6"/>
      <c r="AM679" s="6"/>
      <c r="AN679" s="6"/>
    </row>
    <row r="680" spans="1:40" ht="18.75" customHeight="1" x14ac:dyDescent="0.1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c r="AA680" s="6"/>
      <c r="AB680" s="6"/>
      <c r="AC680" s="6"/>
      <c r="AD680" s="6"/>
      <c r="AE680" s="6"/>
      <c r="AF680" s="6"/>
      <c r="AG680" s="6"/>
      <c r="AH680" s="6"/>
      <c r="AI680" s="6"/>
      <c r="AJ680" s="6"/>
      <c r="AK680" s="6"/>
      <c r="AL680" s="6"/>
      <c r="AM680" s="6"/>
      <c r="AN680" s="6"/>
    </row>
    <row r="681" spans="1:40" ht="18.75" customHeight="1" x14ac:dyDescent="0.1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c r="AA681" s="6"/>
      <c r="AB681" s="6"/>
      <c r="AC681" s="6"/>
      <c r="AD681" s="6"/>
      <c r="AE681" s="6"/>
      <c r="AF681" s="6"/>
      <c r="AG681" s="6"/>
      <c r="AH681" s="6"/>
      <c r="AI681" s="6"/>
      <c r="AJ681" s="6"/>
      <c r="AK681" s="6"/>
      <c r="AL681" s="6"/>
      <c r="AM681" s="6"/>
      <c r="AN681" s="6"/>
    </row>
    <row r="682" spans="1:40" ht="18.75" customHeight="1" x14ac:dyDescent="0.1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c r="AA682" s="6"/>
      <c r="AB682" s="6"/>
      <c r="AC682" s="6"/>
      <c r="AD682" s="6"/>
      <c r="AE682" s="6"/>
      <c r="AF682" s="6"/>
      <c r="AG682" s="6"/>
      <c r="AH682" s="6"/>
      <c r="AI682" s="6"/>
      <c r="AJ682" s="6"/>
      <c r="AK682" s="6"/>
      <c r="AL682" s="6"/>
      <c r="AM682" s="6"/>
      <c r="AN682" s="6"/>
    </row>
    <row r="683" spans="1:40" ht="18.75" customHeight="1" x14ac:dyDescent="0.1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c r="AA683" s="6"/>
      <c r="AB683" s="6"/>
      <c r="AC683" s="6"/>
      <c r="AD683" s="6"/>
      <c r="AE683" s="6"/>
      <c r="AF683" s="6"/>
      <c r="AG683" s="6"/>
      <c r="AH683" s="6"/>
      <c r="AI683" s="6"/>
      <c r="AJ683" s="6"/>
      <c r="AK683" s="6"/>
      <c r="AL683" s="6"/>
      <c r="AM683" s="6"/>
      <c r="AN683" s="6"/>
    </row>
    <row r="684" spans="1:40" ht="18.75" customHeight="1" x14ac:dyDescent="0.1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c r="AA684" s="6"/>
      <c r="AB684" s="6"/>
      <c r="AC684" s="6"/>
      <c r="AD684" s="6"/>
      <c r="AE684" s="6"/>
      <c r="AF684" s="6"/>
      <c r="AG684" s="6"/>
      <c r="AH684" s="6"/>
      <c r="AI684" s="6"/>
      <c r="AJ684" s="6"/>
      <c r="AK684" s="6"/>
      <c r="AL684" s="6"/>
      <c r="AM684" s="6"/>
      <c r="AN684" s="6"/>
    </row>
    <row r="685" spans="1:40" ht="18.75" customHeight="1" x14ac:dyDescent="0.1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c r="AA685" s="6"/>
      <c r="AB685" s="6"/>
      <c r="AC685" s="6"/>
      <c r="AD685" s="6"/>
      <c r="AE685" s="6"/>
      <c r="AF685" s="6"/>
      <c r="AG685" s="6"/>
      <c r="AH685" s="6"/>
      <c r="AI685" s="6"/>
      <c r="AJ685" s="6"/>
      <c r="AK685" s="6"/>
      <c r="AL685" s="6"/>
      <c r="AM685" s="6"/>
      <c r="AN685" s="6"/>
    </row>
    <row r="686" spans="1:40" ht="18.75" customHeight="1" x14ac:dyDescent="0.1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c r="AA686" s="6"/>
      <c r="AB686" s="6"/>
      <c r="AC686" s="6"/>
      <c r="AD686" s="6"/>
      <c r="AE686" s="6"/>
      <c r="AF686" s="6"/>
      <c r="AG686" s="6"/>
      <c r="AH686" s="6"/>
      <c r="AI686" s="6"/>
      <c r="AJ686" s="6"/>
      <c r="AK686" s="6"/>
      <c r="AL686" s="6"/>
      <c r="AM686" s="6"/>
      <c r="AN686" s="6"/>
    </row>
    <row r="687" spans="1:40" ht="18.75" customHeight="1" x14ac:dyDescent="0.1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c r="AA687" s="6"/>
      <c r="AB687" s="6"/>
      <c r="AC687" s="6"/>
      <c r="AD687" s="6"/>
      <c r="AE687" s="6"/>
      <c r="AF687" s="6"/>
      <c r="AG687" s="6"/>
      <c r="AH687" s="6"/>
      <c r="AI687" s="6"/>
      <c r="AJ687" s="6"/>
      <c r="AK687" s="6"/>
      <c r="AL687" s="6"/>
      <c r="AM687" s="6"/>
      <c r="AN687" s="6"/>
    </row>
    <row r="688" spans="1:40" ht="18.75" customHeight="1" x14ac:dyDescent="0.1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c r="AA688" s="6"/>
      <c r="AB688" s="6"/>
      <c r="AC688" s="6"/>
      <c r="AD688" s="6"/>
      <c r="AE688" s="6"/>
      <c r="AF688" s="6"/>
      <c r="AG688" s="6"/>
      <c r="AH688" s="6"/>
      <c r="AI688" s="6"/>
      <c r="AJ688" s="6"/>
      <c r="AK688" s="6"/>
      <c r="AL688" s="6"/>
      <c r="AM688" s="6"/>
      <c r="AN688" s="6"/>
    </row>
    <row r="689" spans="1:40" ht="18.75" customHeight="1" x14ac:dyDescent="0.1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c r="AA689" s="6"/>
      <c r="AB689" s="6"/>
      <c r="AC689" s="6"/>
      <c r="AD689" s="6"/>
      <c r="AE689" s="6"/>
      <c r="AF689" s="6"/>
      <c r="AG689" s="6"/>
      <c r="AH689" s="6"/>
      <c r="AI689" s="6"/>
      <c r="AJ689" s="6"/>
      <c r="AK689" s="6"/>
      <c r="AL689" s="6"/>
      <c r="AM689" s="6"/>
      <c r="AN689" s="6"/>
    </row>
    <row r="690" spans="1:40" ht="18.75" customHeight="1" x14ac:dyDescent="0.1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c r="AA690" s="6"/>
      <c r="AB690" s="6"/>
      <c r="AC690" s="6"/>
      <c r="AD690" s="6"/>
      <c r="AE690" s="6"/>
      <c r="AF690" s="6"/>
      <c r="AG690" s="6"/>
      <c r="AH690" s="6"/>
      <c r="AI690" s="6"/>
      <c r="AJ690" s="6"/>
      <c r="AK690" s="6"/>
      <c r="AL690" s="6"/>
      <c r="AM690" s="6"/>
      <c r="AN690" s="6"/>
    </row>
    <row r="691" spans="1:40" ht="18.75" customHeight="1" x14ac:dyDescent="0.1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c r="AA691" s="6"/>
      <c r="AB691" s="6"/>
      <c r="AC691" s="6"/>
      <c r="AD691" s="6"/>
      <c r="AE691" s="6"/>
      <c r="AF691" s="6"/>
      <c r="AG691" s="6"/>
      <c r="AH691" s="6"/>
      <c r="AI691" s="6"/>
      <c r="AJ691" s="6"/>
      <c r="AK691" s="6"/>
      <c r="AL691" s="6"/>
      <c r="AM691" s="6"/>
      <c r="AN691" s="6"/>
    </row>
    <row r="692" spans="1:40" ht="18.75" customHeight="1" x14ac:dyDescent="0.1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c r="AA692" s="6"/>
      <c r="AB692" s="6"/>
      <c r="AC692" s="6"/>
      <c r="AD692" s="6"/>
      <c r="AE692" s="6"/>
      <c r="AF692" s="6"/>
      <c r="AG692" s="6"/>
      <c r="AH692" s="6"/>
      <c r="AI692" s="6"/>
      <c r="AJ692" s="6"/>
      <c r="AK692" s="6"/>
      <c r="AL692" s="6"/>
      <c r="AM692" s="6"/>
      <c r="AN692" s="6"/>
    </row>
    <row r="693" spans="1:40" ht="18.75" customHeight="1" x14ac:dyDescent="0.1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c r="AA693" s="6"/>
      <c r="AB693" s="6"/>
      <c r="AC693" s="6"/>
      <c r="AD693" s="6"/>
      <c r="AE693" s="6"/>
      <c r="AF693" s="6"/>
      <c r="AG693" s="6"/>
      <c r="AH693" s="6"/>
      <c r="AI693" s="6"/>
      <c r="AJ693" s="6"/>
      <c r="AK693" s="6"/>
      <c r="AL693" s="6"/>
      <c r="AM693" s="6"/>
      <c r="AN693" s="6"/>
    </row>
    <row r="694" spans="1:40" ht="18.75" customHeight="1" x14ac:dyDescent="0.1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c r="AA694" s="6"/>
      <c r="AB694" s="6"/>
      <c r="AC694" s="6"/>
      <c r="AD694" s="6"/>
      <c r="AE694" s="6"/>
      <c r="AF694" s="6"/>
      <c r="AG694" s="6"/>
      <c r="AH694" s="6"/>
      <c r="AI694" s="6"/>
      <c r="AJ694" s="6"/>
      <c r="AK694" s="6"/>
      <c r="AL694" s="6"/>
      <c r="AM694" s="6"/>
      <c r="AN694" s="6"/>
    </row>
    <row r="695" spans="1:40" ht="18.75" customHeight="1" x14ac:dyDescent="0.1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c r="AA695" s="6"/>
      <c r="AB695" s="6"/>
      <c r="AC695" s="6"/>
      <c r="AD695" s="6"/>
      <c r="AE695" s="6"/>
      <c r="AF695" s="6"/>
      <c r="AG695" s="6"/>
      <c r="AH695" s="6"/>
      <c r="AI695" s="6"/>
      <c r="AJ695" s="6"/>
      <c r="AK695" s="6"/>
      <c r="AL695" s="6"/>
      <c r="AM695" s="6"/>
      <c r="AN695" s="6"/>
    </row>
    <row r="696" spans="1:40" ht="18.75" customHeight="1" x14ac:dyDescent="0.1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c r="AA696" s="6"/>
      <c r="AB696" s="6"/>
      <c r="AC696" s="6"/>
      <c r="AD696" s="6"/>
      <c r="AE696" s="6"/>
      <c r="AF696" s="6"/>
      <c r="AG696" s="6"/>
      <c r="AH696" s="6"/>
      <c r="AI696" s="6"/>
      <c r="AJ696" s="6"/>
      <c r="AK696" s="6"/>
      <c r="AL696" s="6"/>
      <c r="AM696" s="6"/>
      <c r="AN696" s="6"/>
    </row>
    <row r="697" spans="1:40" ht="18.75" customHeight="1" x14ac:dyDescent="0.1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c r="AA697" s="6"/>
      <c r="AB697" s="6"/>
      <c r="AC697" s="6"/>
      <c r="AD697" s="6"/>
      <c r="AE697" s="6"/>
      <c r="AF697" s="6"/>
      <c r="AG697" s="6"/>
      <c r="AH697" s="6"/>
      <c r="AI697" s="6"/>
      <c r="AJ697" s="6"/>
      <c r="AK697" s="6"/>
      <c r="AL697" s="6"/>
      <c r="AM697" s="6"/>
      <c r="AN697" s="6"/>
    </row>
    <row r="698" spans="1:40" ht="18.75" customHeight="1" x14ac:dyDescent="0.1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c r="AA698" s="6"/>
      <c r="AB698" s="6"/>
      <c r="AC698" s="6"/>
      <c r="AD698" s="6"/>
      <c r="AE698" s="6"/>
      <c r="AF698" s="6"/>
      <c r="AG698" s="6"/>
      <c r="AH698" s="6"/>
      <c r="AI698" s="6"/>
      <c r="AJ698" s="6"/>
      <c r="AK698" s="6"/>
      <c r="AL698" s="6"/>
      <c r="AM698" s="6"/>
      <c r="AN698" s="6"/>
    </row>
    <row r="699" spans="1:40" ht="18.75" customHeight="1" x14ac:dyDescent="0.1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c r="AA699" s="6"/>
      <c r="AB699" s="6"/>
      <c r="AC699" s="6"/>
      <c r="AD699" s="6"/>
      <c r="AE699" s="6"/>
      <c r="AF699" s="6"/>
      <c r="AG699" s="6"/>
      <c r="AH699" s="6"/>
      <c r="AI699" s="6"/>
      <c r="AJ699" s="6"/>
      <c r="AK699" s="6"/>
      <c r="AL699" s="6"/>
      <c r="AM699" s="6"/>
      <c r="AN699" s="6"/>
    </row>
    <row r="700" spans="1:40" ht="18.75" customHeight="1" x14ac:dyDescent="0.1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c r="AA700" s="6"/>
      <c r="AB700" s="6"/>
      <c r="AC700" s="6"/>
      <c r="AD700" s="6"/>
      <c r="AE700" s="6"/>
      <c r="AF700" s="6"/>
      <c r="AG700" s="6"/>
      <c r="AH700" s="6"/>
      <c r="AI700" s="6"/>
      <c r="AJ700" s="6"/>
      <c r="AK700" s="6"/>
      <c r="AL700" s="6"/>
      <c r="AM700" s="6"/>
      <c r="AN700" s="6"/>
    </row>
    <row r="701" spans="1:40" ht="18.75" customHeight="1" x14ac:dyDescent="0.1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c r="AA701" s="6"/>
      <c r="AB701" s="6"/>
      <c r="AC701" s="6"/>
      <c r="AD701" s="6"/>
      <c r="AE701" s="6"/>
      <c r="AF701" s="6"/>
      <c r="AG701" s="6"/>
      <c r="AH701" s="6"/>
      <c r="AI701" s="6"/>
      <c r="AJ701" s="6"/>
      <c r="AK701" s="6"/>
      <c r="AL701" s="6"/>
      <c r="AM701" s="6"/>
      <c r="AN701" s="6"/>
    </row>
    <row r="702" spans="1:40" ht="18.75" customHeight="1" x14ac:dyDescent="0.1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c r="AA702" s="6"/>
      <c r="AB702" s="6"/>
      <c r="AC702" s="6"/>
      <c r="AD702" s="6"/>
      <c r="AE702" s="6"/>
      <c r="AF702" s="6"/>
      <c r="AG702" s="6"/>
      <c r="AH702" s="6"/>
      <c r="AI702" s="6"/>
      <c r="AJ702" s="6"/>
      <c r="AK702" s="6"/>
      <c r="AL702" s="6"/>
      <c r="AM702" s="6"/>
      <c r="AN702" s="6"/>
    </row>
    <row r="703" spans="1:40" ht="18.75" customHeight="1" x14ac:dyDescent="0.1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c r="AA703" s="6"/>
      <c r="AB703" s="6"/>
      <c r="AC703" s="6"/>
      <c r="AD703" s="6"/>
      <c r="AE703" s="6"/>
      <c r="AF703" s="6"/>
      <c r="AG703" s="6"/>
      <c r="AH703" s="6"/>
      <c r="AI703" s="6"/>
      <c r="AJ703" s="6"/>
      <c r="AK703" s="6"/>
      <c r="AL703" s="6"/>
      <c r="AM703" s="6"/>
      <c r="AN703" s="6"/>
    </row>
    <row r="704" spans="1:40" ht="18.75" customHeight="1" x14ac:dyDescent="0.1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c r="AA704" s="6"/>
      <c r="AB704" s="6"/>
      <c r="AC704" s="6"/>
      <c r="AD704" s="6"/>
      <c r="AE704" s="6"/>
      <c r="AF704" s="6"/>
      <c r="AG704" s="6"/>
      <c r="AH704" s="6"/>
      <c r="AI704" s="6"/>
      <c r="AJ704" s="6"/>
      <c r="AK704" s="6"/>
      <c r="AL704" s="6"/>
      <c r="AM704" s="6"/>
      <c r="AN704" s="6"/>
    </row>
    <row r="705" spans="1:40" ht="18.75" customHeight="1" x14ac:dyDescent="0.1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c r="AA705" s="6"/>
      <c r="AB705" s="6"/>
      <c r="AC705" s="6"/>
      <c r="AD705" s="6"/>
      <c r="AE705" s="6"/>
      <c r="AF705" s="6"/>
      <c r="AG705" s="6"/>
      <c r="AH705" s="6"/>
      <c r="AI705" s="6"/>
      <c r="AJ705" s="6"/>
      <c r="AK705" s="6"/>
      <c r="AL705" s="6"/>
      <c r="AM705" s="6"/>
      <c r="AN705" s="6"/>
    </row>
    <row r="706" spans="1:40" ht="18.75" customHeight="1" x14ac:dyDescent="0.1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c r="AA706" s="6"/>
      <c r="AB706" s="6"/>
      <c r="AC706" s="6"/>
      <c r="AD706" s="6"/>
      <c r="AE706" s="6"/>
      <c r="AF706" s="6"/>
      <c r="AG706" s="6"/>
      <c r="AH706" s="6"/>
      <c r="AI706" s="6"/>
      <c r="AJ706" s="6"/>
      <c r="AK706" s="6"/>
      <c r="AL706" s="6"/>
      <c r="AM706" s="6"/>
      <c r="AN706" s="6"/>
    </row>
    <row r="707" spans="1:40" ht="18.75" customHeight="1" x14ac:dyDescent="0.1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c r="AA707" s="6"/>
      <c r="AB707" s="6"/>
      <c r="AC707" s="6"/>
      <c r="AD707" s="6"/>
      <c r="AE707" s="6"/>
      <c r="AF707" s="6"/>
      <c r="AG707" s="6"/>
      <c r="AH707" s="6"/>
      <c r="AI707" s="6"/>
      <c r="AJ707" s="6"/>
      <c r="AK707" s="6"/>
      <c r="AL707" s="6"/>
      <c r="AM707" s="6"/>
      <c r="AN707" s="6"/>
    </row>
    <row r="708" spans="1:40" ht="18.75" customHeight="1" x14ac:dyDescent="0.1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c r="AA708" s="6"/>
      <c r="AB708" s="6"/>
      <c r="AC708" s="6"/>
      <c r="AD708" s="6"/>
      <c r="AE708" s="6"/>
      <c r="AF708" s="6"/>
      <c r="AG708" s="6"/>
      <c r="AH708" s="6"/>
      <c r="AI708" s="6"/>
      <c r="AJ708" s="6"/>
      <c r="AK708" s="6"/>
      <c r="AL708" s="6"/>
      <c r="AM708" s="6"/>
      <c r="AN708" s="6"/>
    </row>
    <row r="709" spans="1:40" ht="18.75" customHeight="1" x14ac:dyDescent="0.1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c r="AA709" s="6"/>
      <c r="AB709" s="6"/>
      <c r="AC709" s="6"/>
      <c r="AD709" s="6"/>
      <c r="AE709" s="6"/>
      <c r="AF709" s="6"/>
      <c r="AG709" s="6"/>
      <c r="AH709" s="6"/>
      <c r="AI709" s="6"/>
      <c r="AJ709" s="6"/>
      <c r="AK709" s="6"/>
      <c r="AL709" s="6"/>
      <c r="AM709" s="6"/>
      <c r="AN709" s="6"/>
    </row>
    <row r="710" spans="1:40" ht="18.75" customHeight="1" x14ac:dyDescent="0.1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c r="AA710" s="6"/>
      <c r="AB710" s="6"/>
      <c r="AC710" s="6"/>
      <c r="AD710" s="6"/>
      <c r="AE710" s="6"/>
      <c r="AF710" s="6"/>
      <c r="AG710" s="6"/>
      <c r="AH710" s="6"/>
      <c r="AI710" s="6"/>
      <c r="AJ710" s="6"/>
      <c r="AK710" s="6"/>
      <c r="AL710" s="6"/>
      <c r="AM710" s="6"/>
      <c r="AN710" s="6"/>
    </row>
    <row r="711" spans="1:40" ht="18.75" customHeight="1" x14ac:dyDescent="0.1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c r="AA711" s="6"/>
      <c r="AB711" s="6"/>
      <c r="AC711" s="6"/>
      <c r="AD711" s="6"/>
      <c r="AE711" s="6"/>
      <c r="AF711" s="6"/>
      <c r="AG711" s="6"/>
      <c r="AH711" s="6"/>
      <c r="AI711" s="6"/>
      <c r="AJ711" s="6"/>
      <c r="AK711" s="6"/>
      <c r="AL711" s="6"/>
      <c r="AM711" s="6"/>
      <c r="AN711" s="6"/>
    </row>
    <row r="712" spans="1:40" ht="18.75" customHeight="1" x14ac:dyDescent="0.1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c r="AA712" s="6"/>
      <c r="AB712" s="6"/>
      <c r="AC712" s="6"/>
      <c r="AD712" s="6"/>
      <c r="AE712" s="6"/>
      <c r="AF712" s="6"/>
      <c r="AG712" s="6"/>
      <c r="AH712" s="6"/>
      <c r="AI712" s="6"/>
      <c r="AJ712" s="6"/>
      <c r="AK712" s="6"/>
      <c r="AL712" s="6"/>
      <c r="AM712" s="6"/>
      <c r="AN712" s="6"/>
    </row>
    <row r="713" spans="1:40" ht="18.75" customHeight="1" x14ac:dyDescent="0.1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c r="AA713" s="6"/>
      <c r="AB713" s="6"/>
      <c r="AC713" s="6"/>
      <c r="AD713" s="6"/>
      <c r="AE713" s="6"/>
      <c r="AF713" s="6"/>
      <c r="AG713" s="6"/>
      <c r="AH713" s="6"/>
      <c r="AI713" s="6"/>
      <c r="AJ713" s="6"/>
      <c r="AK713" s="6"/>
      <c r="AL713" s="6"/>
      <c r="AM713" s="6"/>
      <c r="AN713" s="6"/>
    </row>
    <row r="714" spans="1:40" ht="18.75" customHeight="1" x14ac:dyDescent="0.1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c r="AA714" s="6"/>
      <c r="AB714" s="6"/>
      <c r="AC714" s="6"/>
      <c r="AD714" s="6"/>
      <c r="AE714" s="6"/>
      <c r="AF714" s="6"/>
      <c r="AG714" s="6"/>
      <c r="AH714" s="6"/>
      <c r="AI714" s="6"/>
      <c r="AJ714" s="6"/>
      <c r="AK714" s="6"/>
      <c r="AL714" s="6"/>
      <c r="AM714" s="6"/>
      <c r="AN714" s="6"/>
    </row>
    <row r="715" spans="1:40" ht="18.75" customHeight="1" x14ac:dyDescent="0.1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c r="AA715" s="6"/>
      <c r="AB715" s="6"/>
      <c r="AC715" s="6"/>
      <c r="AD715" s="6"/>
      <c r="AE715" s="6"/>
      <c r="AF715" s="6"/>
      <c r="AG715" s="6"/>
      <c r="AH715" s="6"/>
      <c r="AI715" s="6"/>
      <c r="AJ715" s="6"/>
      <c r="AK715" s="6"/>
      <c r="AL715" s="6"/>
      <c r="AM715" s="6"/>
      <c r="AN715" s="6"/>
    </row>
    <row r="716" spans="1:40" ht="18.75" customHeight="1" x14ac:dyDescent="0.1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c r="AA716" s="6"/>
      <c r="AB716" s="6"/>
      <c r="AC716" s="6"/>
      <c r="AD716" s="6"/>
      <c r="AE716" s="6"/>
      <c r="AF716" s="6"/>
      <c r="AG716" s="6"/>
      <c r="AH716" s="6"/>
      <c r="AI716" s="6"/>
      <c r="AJ716" s="6"/>
      <c r="AK716" s="6"/>
      <c r="AL716" s="6"/>
      <c r="AM716" s="6"/>
      <c r="AN716" s="6"/>
    </row>
    <row r="717" spans="1:40" ht="18.75" customHeight="1" x14ac:dyDescent="0.1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c r="AA717" s="6"/>
      <c r="AB717" s="6"/>
      <c r="AC717" s="6"/>
      <c r="AD717" s="6"/>
      <c r="AE717" s="6"/>
      <c r="AF717" s="6"/>
      <c r="AG717" s="6"/>
      <c r="AH717" s="6"/>
      <c r="AI717" s="6"/>
      <c r="AJ717" s="6"/>
      <c r="AK717" s="6"/>
      <c r="AL717" s="6"/>
      <c r="AM717" s="6"/>
      <c r="AN717" s="6"/>
    </row>
    <row r="718" spans="1:40" ht="18.75" customHeight="1" x14ac:dyDescent="0.1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c r="AA718" s="6"/>
      <c r="AB718" s="6"/>
      <c r="AC718" s="6"/>
      <c r="AD718" s="6"/>
      <c r="AE718" s="6"/>
      <c r="AF718" s="6"/>
      <c r="AG718" s="6"/>
      <c r="AH718" s="6"/>
      <c r="AI718" s="6"/>
      <c r="AJ718" s="6"/>
      <c r="AK718" s="6"/>
      <c r="AL718" s="6"/>
      <c r="AM718" s="6"/>
      <c r="AN718" s="6"/>
    </row>
    <row r="719" spans="1:40" ht="18.75" customHeight="1" x14ac:dyDescent="0.1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c r="AA719" s="6"/>
      <c r="AB719" s="6"/>
      <c r="AC719" s="6"/>
      <c r="AD719" s="6"/>
      <c r="AE719" s="6"/>
      <c r="AF719" s="6"/>
      <c r="AG719" s="6"/>
      <c r="AH719" s="6"/>
      <c r="AI719" s="6"/>
      <c r="AJ719" s="6"/>
      <c r="AK719" s="6"/>
      <c r="AL719" s="6"/>
      <c r="AM719" s="6"/>
      <c r="AN719" s="6"/>
    </row>
    <row r="720" spans="1:40" ht="18.75" customHeight="1" x14ac:dyDescent="0.1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c r="AA720" s="6"/>
      <c r="AB720" s="6"/>
      <c r="AC720" s="6"/>
      <c r="AD720" s="6"/>
      <c r="AE720" s="6"/>
      <c r="AF720" s="6"/>
      <c r="AG720" s="6"/>
      <c r="AH720" s="6"/>
      <c r="AI720" s="6"/>
      <c r="AJ720" s="6"/>
      <c r="AK720" s="6"/>
      <c r="AL720" s="6"/>
      <c r="AM720" s="6"/>
      <c r="AN720" s="6"/>
    </row>
    <row r="721" spans="1:40" ht="18.75" customHeight="1" x14ac:dyDescent="0.1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c r="AA721" s="6"/>
      <c r="AB721" s="6"/>
      <c r="AC721" s="6"/>
      <c r="AD721" s="6"/>
      <c r="AE721" s="6"/>
      <c r="AF721" s="6"/>
      <c r="AG721" s="6"/>
      <c r="AH721" s="6"/>
      <c r="AI721" s="6"/>
      <c r="AJ721" s="6"/>
      <c r="AK721" s="6"/>
      <c r="AL721" s="6"/>
      <c r="AM721" s="6"/>
      <c r="AN721" s="6"/>
    </row>
    <row r="722" spans="1:40" ht="18.75" customHeight="1" x14ac:dyDescent="0.1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c r="AA722" s="6"/>
      <c r="AB722" s="6"/>
      <c r="AC722" s="6"/>
      <c r="AD722" s="6"/>
      <c r="AE722" s="6"/>
      <c r="AF722" s="6"/>
      <c r="AG722" s="6"/>
      <c r="AH722" s="6"/>
      <c r="AI722" s="6"/>
      <c r="AJ722" s="6"/>
      <c r="AK722" s="6"/>
      <c r="AL722" s="6"/>
      <c r="AM722" s="6"/>
      <c r="AN722" s="6"/>
    </row>
    <row r="723" spans="1:40" ht="18.75" customHeight="1" x14ac:dyDescent="0.1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c r="AA723" s="6"/>
      <c r="AB723" s="6"/>
      <c r="AC723" s="6"/>
      <c r="AD723" s="6"/>
      <c r="AE723" s="6"/>
      <c r="AF723" s="6"/>
      <c r="AG723" s="6"/>
      <c r="AH723" s="6"/>
      <c r="AI723" s="6"/>
      <c r="AJ723" s="6"/>
      <c r="AK723" s="6"/>
      <c r="AL723" s="6"/>
      <c r="AM723" s="6"/>
      <c r="AN723" s="6"/>
    </row>
    <row r="724" spans="1:40" ht="18.75" customHeight="1" x14ac:dyDescent="0.1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c r="AA724" s="6"/>
      <c r="AB724" s="6"/>
      <c r="AC724" s="6"/>
      <c r="AD724" s="6"/>
      <c r="AE724" s="6"/>
      <c r="AF724" s="6"/>
      <c r="AG724" s="6"/>
      <c r="AH724" s="6"/>
      <c r="AI724" s="6"/>
      <c r="AJ724" s="6"/>
      <c r="AK724" s="6"/>
      <c r="AL724" s="6"/>
      <c r="AM724" s="6"/>
      <c r="AN724" s="6"/>
    </row>
    <row r="725" spans="1:40" ht="18.75" customHeight="1" x14ac:dyDescent="0.1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c r="AA725" s="6"/>
      <c r="AB725" s="6"/>
      <c r="AC725" s="6"/>
      <c r="AD725" s="6"/>
      <c r="AE725" s="6"/>
      <c r="AF725" s="6"/>
      <c r="AG725" s="6"/>
      <c r="AH725" s="6"/>
      <c r="AI725" s="6"/>
      <c r="AJ725" s="6"/>
      <c r="AK725" s="6"/>
      <c r="AL725" s="6"/>
      <c r="AM725" s="6"/>
      <c r="AN725" s="6"/>
    </row>
    <row r="726" spans="1:40" ht="18.75" customHeight="1" x14ac:dyDescent="0.1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c r="AA726" s="6"/>
      <c r="AB726" s="6"/>
      <c r="AC726" s="6"/>
      <c r="AD726" s="6"/>
      <c r="AE726" s="6"/>
      <c r="AF726" s="6"/>
      <c r="AG726" s="6"/>
      <c r="AH726" s="6"/>
      <c r="AI726" s="6"/>
      <c r="AJ726" s="6"/>
      <c r="AK726" s="6"/>
      <c r="AL726" s="6"/>
      <c r="AM726" s="6"/>
      <c r="AN726" s="6"/>
    </row>
    <row r="727" spans="1:40" ht="18.75" customHeight="1" x14ac:dyDescent="0.1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c r="AA727" s="6"/>
      <c r="AB727" s="6"/>
      <c r="AC727" s="6"/>
      <c r="AD727" s="6"/>
      <c r="AE727" s="6"/>
      <c r="AF727" s="6"/>
      <c r="AG727" s="6"/>
      <c r="AH727" s="6"/>
      <c r="AI727" s="6"/>
      <c r="AJ727" s="6"/>
      <c r="AK727" s="6"/>
      <c r="AL727" s="6"/>
      <c r="AM727" s="6"/>
      <c r="AN727" s="6"/>
    </row>
    <row r="728" spans="1:40" ht="18.75" customHeight="1" x14ac:dyDescent="0.1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c r="AA728" s="6"/>
      <c r="AB728" s="6"/>
      <c r="AC728" s="6"/>
      <c r="AD728" s="6"/>
      <c r="AE728" s="6"/>
      <c r="AF728" s="6"/>
      <c r="AG728" s="6"/>
      <c r="AH728" s="6"/>
      <c r="AI728" s="6"/>
      <c r="AJ728" s="6"/>
      <c r="AK728" s="6"/>
      <c r="AL728" s="6"/>
      <c r="AM728" s="6"/>
      <c r="AN728" s="6"/>
    </row>
    <row r="729" spans="1:40" ht="18.75" customHeight="1" x14ac:dyDescent="0.1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c r="AA729" s="6"/>
      <c r="AB729" s="6"/>
      <c r="AC729" s="6"/>
      <c r="AD729" s="6"/>
      <c r="AE729" s="6"/>
      <c r="AF729" s="6"/>
      <c r="AG729" s="6"/>
      <c r="AH729" s="6"/>
      <c r="AI729" s="6"/>
      <c r="AJ729" s="6"/>
      <c r="AK729" s="6"/>
      <c r="AL729" s="6"/>
      <c r="AM729" s="6"/>
      <c r="AN729" s="6"/>
    </row>
    <row r="730" spans="1:40" ht="18.75" customHeight="1" x14ac:dyDescent="0.1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c r="AA730" s="6"/>
      <c r="AB730" s="6"/>
      <c r="AC730" s="6"/>
      <c r="AD730" s="6"/>
      <c r="AE730" s="6"/>
      <c r="AF730" s="6"/>
      <c r="AG730" s="6"/>
      <c r="AH730" s="6"/>
      <c r="AI730" s="6"/>
      <c r="AJ730" s="6"/>
      <c r="AK730" s="6"/>
      <c r="AL730" s="6"/>
      <c r="AM730" s="6"/>
      <c r="AN730" s="6"/>
    </row>
    <row r="731" spans="1:40" ht="18.75" customHeight="1" x14ac:dyDescent="0.1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c r="AA731" s="6"/>
      <c r="AB731" s="6"/>
      <c r="AC731" s="6"/>
      <c r="AD731" s="6"/>
      <c r="AE731" s="6"/>
      <c r="AF731" s="6"/>
      <c r="AG731" s="6"/>
      <c r="AH731" s="6"/>
      <c r="AI731" s="6"/>
      <c r="AJ731" s="6"/>
      <c r="AK731" s="6"/>
      <c r="AL731" s="6"/>
      <c r="AM731" s="6"/>
      <c r="AN731" s="6"/>
    </row>
    <row r="732" spans="1:40" ht="18.75" customHeight="1" x14ac:dyDescent="0.1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c r="AA732" s="6"/>
      <c r="AB732" s="6"/>
      <c r="AC732" s="6"/>
      <c r="AD732" s="6"/>
      <c r="AE732" s="6"/>
      <c r="AF732" s="6"/>
      <c r="AG732" s="6"/>
      <c r="AH732" s="6"/>
      <c r="AI732" s="6"/>
      <c r="AJ732" s="6"/>
      <c r="AK732" s="6"/>
      <c r="AL732" s="6"/>
      <c r="AM732" s="6"/>
      <c r="AN732" s="6"/>
    </row>
    <row r="733" spans="1:40" ht="18.75" customHeight="1" x14ac:dyDescent="0.1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c r="AA733" s="6"/>
      <c r="AB733" s="6"/>
      <c r="AC733" s="6"/>
      <c r="AD733" s="6"/>
      <c r="AE733" s="6"/>
      <c r="AF733" s="6"/>
      <c r="AG733" s="6"/>
      <c r="AH733" s="6"/>
      <c r="AI733" s="6"/>
      <c r="AJ733" s="6"/>
      <c r="AK733" s="6"/>
      <c r="AL733" s="6"/>
      <c r="AM733" s="6"/>
      <c r="AN733" s="6"/>
    </row>
    <row r="734" spans="1:40" ht="18.75" customHeight="1" x14ac:dyDescent="0.1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c r="AA734" s="6"/>
      <c r="AB734" s="6"/>
      <c r="AC734" s="6"/>
      <c r="AD734" s="6"/>
      <c r="AE734" s="6"/>
      <c r="AF734" s="6"/>
      <c r="AG734" s="6"/>
      <c r="AH734" s="6"/>
      <c r="AI734" s="6"/>
      <c r="AJ734" s="6"/>
      <c r="AK734" s="6"/>
      <c r="AL734" s="6"/>
      <c r="AM734" s="6"/>
      <c r="AN734" s="6"/>
    </row>
    <row r="735" spans="1:40" ht="18.75" customHeight="1" x14ac:dyDescent="0.1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c r="AA735" s="6"/>
      <c r="AB735" s="6"/>
      <c r="AC735" s="6"/>
      <c r="AD735" s="6"/>
      <c r="AE735" s="6"/>
      <c r="AF735" s="6"/>
      <c r="AG735" s="6"/>
      <c r="AH735" s="6"/>
      <c r="AI735" s="6"/>
      <c r="AJ735" s="6"/>
      <c r="AK735" s="6"/>
      <c r="AL735" s="6"/>
      <c r="AM735" s="6"/>
      <c r="AN735" s="6"/>
    </row>
    <row r="736" spans="1:40" ht="18.75" customHeight="1" x14ac:dyDescent="0.1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c r="AA736" s="6"/>
      <c r="AB736" s="6"/>
      <c r="AC736" s="6"/>
      <c r="AD736" s="6"/>
      <c r="AE736" s="6"/>
      <c r="AF736" s="6"/>
      <c r="AG736" s="6"/>
      <c r="AH736" s="6"/>
      <c r="AI736" s="6"/>
      <c r="AJ736" s="6"/>
      <c r="AK736" s="6"/>
      <c r="AL736" s="6"/>
      <c r="AM736" s="6"/>
      <c r="AN736" s="6"/>
    </row>
    <row r="737" spans="1:40" ht="18.75" customHeight="1" x14ac:dyDescent="0.1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c r="AA737" s="6"/>
      <c r="AB737" s="6"/>
      <c r="AC737" s="6"/>
      <c r="AD737" s="6"/>
      <c r="AE737" s="6"/>
      <c r="AF737" s="6"/>
      <c r="AG737" s="6"/>
      <c r="AH737" s="6"/>
      <c r="AI737" s="6"/>
      <c r="AJ737" s="6"/>
      <c r="AK737" s="6"/>
      <c r="AL737" s="6"/>
      <c r="AM737" s="6"/>
      <c r="AN737" s="6"/>
    </row>
    <row r="738" spans="1:40" ht="18.75" customHeight="1" x14ac:dyDescent="0.1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c r="AA738" s="6"/>
      <c r="AB738" s="6"/>
      <c r="AC738" s="6"/>
      <c r="AD738" s="6"/>
      <c r="AE738" s="6"/>
      <c r="AF738" s="6"/>
      <c r="AG738" s="6"/>
      <c r="AH738" s="6"/>
      <c r="AI738" s="6"/>
      <c r="AJ738" s="6"/>
      <c r="AK738" s="6"/>
      <c r="AL738" s="6"/>
      <c r="AM738" s="6"/>
      <c r="AN738" s="6"/>
    </row>
    <row r="739" spans="1:40" ht="18.75" customHeight="1" x14ac:dyDescent="0.1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c r="AA739" s="6"/>
      <c r="AB739" s="6"/>
      <c r="AC739" s="6"/>
      <c r="AD739" s="6"/>
      <c r="AE739" s="6"/>
      <c r="AF739" s="6"/>
      <c r="AG739" s="6"/>
      <c r="AH739" s="6"/>
      <c r="AI739" s="6"/>
      <c r="AJ739" s="6"/>
      <c r="AK739" s="6"/>
      <c r="AL739" s="6"/>
      <c r="AM739" s="6"/>
      <c r="AN739" s="6"/>
    </row>
    <row r="740" spans="1:40" ht="18.75" customHeight="1" x14ac:dyDescent="0.1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c r="AA740" s="6"/>
      <c r="AB740" s="6"/>
      <c r="AC740" s="6"/>
      <c r="AD740" s="6"/>
      <c r="AE740" s="6"/>
      <c r="AF740" s="6"/>
      <c r="AG740" s="6"/>
      <c r="AH740" s="6"/>
      <c r="AI740" s="6"/>
      <c r="AJ740" s="6"/>
      <c r="AK740" s="6"/>
      <c r="AL740" s="6"/>
      <c r="AM740" s="6"/>
      <c r="AN740" s="6"/>
    </row>
    <row r="741" spans="1:40" ht="18.75" customHeight="1" x14ac:dyDescent="0.1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c r="AA741" s="6"/>
      <c r="AB741" s="6"/>
      <c r="AC741" s="6"/>
      <c r="AD741" s="6"/>
      <c r="AE741" s="6"/>
      <c r="AF741" s="6"/>
      <c r="AG741" s="6"/>
      <c r="AH741" s="6"/>
      <c r="AI741" s="6"/>
      <c r="AJ741" s="6"/>
      <c r="AK741" s="6"/>
      <c r="AL741" s="6"/>
      <c r="AM741" s="6"/>
      <c r="AN741" s="6"/>
    </row>
    <row r="742" spans="1:40" ht="18.75" customHeight="1" x14ac:dyDescent="0.1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c r="AA742" s="6"/>
      <c r="AB742" s="6"/>
      <c r="AC742" s="6"/>
      <c r="AD742" s="6"/>
      <c r="AE742" s="6"/>
      <c r="AF742" s="6"/>
      <c r="AG742" s="6"/>
      <c r="AH742" s="6"/>
      <c r="AI742" s="6"/>
      <c r="AJ742" s="6"/>
      <c r="AK742" s="6"/>
      <c r="AL742" s="6"/>
      <c r="AM742" s="6"/>
      <c r="AN742" s="6"/>
    </row>
    <row r="743" spans="1:40" ht="18.75" customHeight="1" x14ac:dyDescent="0.1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c r="AA743" s="6"/>
      <c r="AB743" s="6"/>
      <c r="AC743" s="6"/>
      <c r="AD743" s="6"/>
      <c r="AE743" s="6"/>
      <c r="AF743" s="6"/>
      <c r="AG743" s="6"/>
      <c r="AH743" s="6"/>
      <c r="AI743" s="6"/>
      <c r="AJ743" s="6"/>
      <c r="AK743" s="6"/>
      <c r="AL743" s="6"/>
      <c r="AM743" s="6"/>
      <c r="AN743" s="6"/>
    </row>
    <row r="744" spans="1:40" ht="18.75" customHeight="1" x14ac:dyDescent="0.1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c r="AA744" s="6"/>
      <c r="AB744" s="6"/>
      <c r="AC744" s="6"/>
      <c r="AD744" s="6"/>
      <c r="AE744" s="6"/>
      <c r="AF744" s="6"/>
      <c r="AG744" s="6"/>
      <c r="AH744" s="6"/>
      <c r="AI744" s="6"/>
      <c r="AJ744" s="6"/>
      <c r="AK744" s="6"/>
      <c r="AL744" s="6"/>
      <c r="AM744" s="6"/>
      <c r="AN744" s="6"/>
    </row>
    <row r="745" spans="1:40" ht="18.75" customHeight="1" x14ac:dyDescent="0.1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c r="AA745" s="6"/>
      <c r="AB745" s="6"/>
      <c r="AC745" s="6"/>
      <c r="AD745" s="6"/>
      <c r="AE745" s="6"/>
      <c r="AF745" s="6"/>
      <c r="AG745" s="6"/>
      <c r="AH745" s="6"/>
      <c r="AI745" s="6"/>
      <c r="AJ745" s="6"/>
      <c r="AK745" s="6"/>
      <c r="AL745" s="6"/>
      <c r="AM745" s="6"/>
      <c r="AN745" s="6"/>
    </row>
    <row r="746" spans="1:40" ht="18.75" customHeight="1" x14ac:dyDescent="0.1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c r="AA746" s="6"/>
      <c r="AB746" s="6"/>
      <c r="AC746" s="6"/>
      <c r="AD746" s="6"/>
      <c r="AE746" s="6"/>
      <c r="AF746" s="6"/>
      <c r="AG746" s="6"/>
      <c r="AH746" s="6"/>
      <c r="AI746" s="6"/>
      <c r="AJ746" s="6"/>
      <c r="AK746" s="6"/>
      <c r="AL746" s="6"/>
      <c r="AM746" s="6"/>
      <c r="AN746" s="6"/>
    </row>
    <row r="747" spans="1:40" ht="18.75" customHeight="1" x14ac:dyDescent="0.1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c r="AA747" s="6"/>
      <c r="AB747" s="6"/>
      <c r="AC747" s="6"/>
      <c r="AD747" s="6"/>
      <c r="AE747" s="6"/>
      <c r="AF747" s="6"/>
      <c r="AG747" s="6"/>
      <c r="AH747" s="6"/>
      <c r="AI747" s="6"/>
      <c r="AJ747" s="6"/>
      <c r="AK747" s="6"/>
      <c r="AL747" s="6"/>
      <c r="AM747" s="6"/>
      <c r="AN747" s="6"/>
    </row>
    <row r="748" spans="1:40" ht="18.75" customHeight="1" x14ac:dyDescent="0.1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c r="AA748" s="6"/>
      <c r="AB748" s="6"/>
      <c r="AC748" s="6"/>
      <c r="AD748" s="6"/>
      <c r="AE748" s="6"/>
      <c r="AF748" s="6"/>
      <c r="AG748" s="6"/>
      <c r="AH748" s="6"/>
      <c r="AI748" s="6"/>
      <c r="AJ748" s="6"/>
      <c r="AK748" s="6"/>
      <c r="AL748" s="6"/>
      <c r="AM748" s="6"/>
      <c r="AN748" s="6"/>
    </row>
    <row r="749" spans="1:40" ht="18.75" customHeight="1" x14ac:dyDescent="0.1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c r="AA749" s="6"/>
      <c r="AB749" s="6"/>
      <c r="AC749" s="6"/>
      <c r="AD749" s="6"/>
      <c r="AE749" s="6"/>
      <c r="AF749" s="6"/>
      <c r="AG749" s="6"/>
      <c r="AH749" s="6"/>
      <c r="AI749" s="6"/>
      <c r="AJ749" s="6"/>
      <c r="AK749" s="6"/>
      <c r="AL749" s="6"/>
      <c r="AM749" s="6"/>
      <c r="AN749" s="6"/>
    </row>
    <row r="750" spans="1:40" ht="18.75" customHeight="1" x14ac:dyDescent="0.1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c r="AA750" s="6"/>
      <c r="AB750" s="6"/>
      <c r="AC750" s="6"/>
      <c r="AD750" s="6"/>
      <c r="AE750" s="6"/>
      <c r="AF750" s="6"/>
      <c r="AG750" s="6"/>
      <c r="AH750" s="6"/>
      <c r="AI750" s="6"/>
      <c r="AJ750" s="6"/>
      <c r="AK750" s="6"/>
      <c r="AL750" s="6"/>
      <c r="AM750" s="6"/>
      <c r="AN750" s="6"/>
    </row>
    <row r="751" spans="1:40" ht="18.75" customHeight="1" x14ac:dyDescent="0.1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c r="AA751" s="6"/>
      <c r="AB751" s="6"/>
      <c r="AC751" s="6"/>
      <c r="AD751" s="6"/>
      <c r="AE751" s="6"/>
      <c r="AF751" s="6"/>
      <c r="AG751" s="6"/>
      <c r="AH751" s="6"/>
      <c r="AI751" s="6"/>
      <c r="AJ751" s="6"/>
      <c r="AK751" s="6"/>
      <c r="AL751" s="6"/>
      <c r="AM751" s="6"/>
      <c r="AN751" s="6"/>
    </row>
    <row r="752" spans="1:40" ht="18.75" customHeight="1" x14ac:dyDescent="0.1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c r="AA752" s="6"/>
      <c r="AB752" s="6"/>
      <c r="AC752" s="6"/>
      <c r="AD752" s="6"/>
      <c r="AE752" s="6"/>
      <c r="AF752" s="6"/>
      <c r="AG752" s="6"/>
      <c r="AH752" s="6"/>
      <c r="AI752" s="6"/>
      <c r="AJ752" s="6"/>
      <c r="AK752" s="6"/>
      <c r="AL752" s="6"/>
      <c r="AM752" s="6"/>
      <c r="AN752" s="6"/>
    </row>
    <row r="753" spans="1:40" ht="18.75" customHeight="1" x14ac:dyDescent="0.1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c r="AA753" s="6"/>
      <c r="AB753" s="6"/>
      <c r="AC753" s="6"/>
      <c r="AD753" s="6"/>
      <c r="AE753" s="6"/>
      <c r="AF753" s="6"/>
      <c r="AG753" s="6"/>
      <c r="AH753" s="6"/>
      <c r="AI753" s="6"/>
      <c r="AJ753" s="6"/>
      <c r="AK753" s="6"/>
      <c r="AL753" s="6"/>
      <c r="AM753" s="6"/>
      <c r="AN753" s="6"/>
    </row>
    <row r="754" spans="1:40" ht="18.75" customHeight="1" x14ac:dyDescent="0.1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c r="AA754" s="6"/>
      <c r="AB754" s="6"/>
      <c r="AC754" s="6"/>
      <c r="AD754" s="6"/>
      <c r="AE754" s="6"/>
      <c r="AF754" s="6"/>
      <c r="AG754" s="6"/>
      <c r="AH754" s="6"/>
      <c r="AI754" s="6"/>
      <c r="AJ754" s="6"/>
      <c r="AK754" s="6"/>
      <c r="AL754" s="6"/>
      <c r="AM754" s="6"/>
      <c r="AN754" s="6"/>
    </row>
    <row r="755" spans="1:40" ht="18.75" customHeight="1" x14ac:dyDescent="0.1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c r="AA755" s="6"/>
      <c r="AB755" s="6"/>
      <c r="AC755" s="6"/>
      <c r="AD755" s="6"/>
      <c r="AE755" s="6"/>
      <c r="AF755" s="6"/>
      <c r="AG755" s="6"/>
      <c r="AH755" s="6"/>
      <c r="AI755" s="6"/>
      <c r="AJ755" s="6"/>
      <c r="AK755" s="6"/>
      <c r="AL755" s="6"/>
      <c r="AM755" s="6"/>
      <c r="AN755" s="6"/>
    </row>
    <row r="756" spans="1:40" ht="18.75" customHeight="1" x14ac:dyDescent="0.1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c r="AA756" s="6"/>
      <c r="AB756" s="6"/>
      <c r="AC756" s="6"/>
      <c r="AD756" s="6"/>
      <c r="AE756" s="6"/>
      <c r="AF756" s="6"/>
      <c r="AG756" s="6"/>
      <c r="AH756" s="6"/>
      <c r="AI756" s="6"/>
      <c r="AJ756" s="6"/>
      <c r="AK756" s="6"/>
      <c r="AL756" s="6"/>
      <c r="AM756" s="6"/>
      <c r="AN756" s="6"/>
    </row>
    <row r="757" spans="1:40" ht="18.75" customHeight="1" x14ac:dyDescent="0.1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c r="AA757" s="6"/>
      <c r="AB757" s="6"/>
      <c r="AC757" s="6"/>
      <c r="AD757" s="6"/>
      <c r="AE757" s="6"/>
      <c r="AF757" s="6"/>
      <c r="AG757" s="6"/>
      <c r="AH757" s="6"/>
      <c r="AI757" s="6"/>
      <c r="AJ757" s="6"/>
      <c r="AK757" s="6"/>
      <c r="AL757" s="6"/>
      <c r="AM757" s="6"/>
      <c r="AN757" s="6"/>
    </row>
    <row r="758" spans="1:40" ht="18.75" customHeight="1" x14ac:dyDescent="0.1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c r="AA758" s="6"/>
      <c r="AB758" s="6"/>
      <c r="AC758" s="6"/>
      <c r="AD758" s="6"/>
      <c r="AE758" s="6"/>
      <c r="AF758" s="6"/>
      <c r="AG758" s="6"/>
      <c r="AH758" s="6"/>
      <c r="AI758" s="6"/>
      <c r="AJ758" s="6"/>
      <c r="AK758" s="6"/>
      <c r="AL758" s="6"/>
      <c r="AM758" s="6"/>
      <c r="AN758" s="6"/>
    </row>
    <row r="759" spans="1:40" ht="18.75" customHeight="1" x14ac:dyDescent="0.1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c r="AA759" s="6"/>
      <c r="AB759" s="6"/>
      <c r="AC759" s="6"/>
      <c r="AD759" s="6"/>
      <c r="AE759" s="6"/>
      <c r="AF759" s="6"/>
      <c r="AG759" s="6"/>
      <c r="AH759" s="6"/>
      <c r="AI759" s="6"/>
      <c r="AJ759" s="6"/>
      <c r="AK759" s="6"/>
      <c r="AL759" s="6"/>
      <c r="AM759" s="6"/>
      <c r="AN759" s="6"/>
    </row>
    <row r="760" spans="1:40" ht="18.75" customHeight="1" x14ac:dyDescent="0.1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c r="AA760" s="6"/>
      <c r="AB760" s="6"/>
      <c r="AC760" s="6"/>
      <c r="AD760" s="6"/>
      <c r="AE760" s="6"/>
      <c r="AF760" s="6"/>
      <c r="AG760" s="6"/>
      <c r="AH760" s="6"/>
      <c r="AI760" s="6"/>
      <c r="AJ760" s="6"/>
      <c r="AK760" s="6"/>
      <c r="AL760" s="6"/>
      <c r="AM760" s="6"/>
      <c r="AN760" s="6"/>
    </row>
    <row r="761" spans="1:40" ht="18.75" customHeight="1" x14ac:dyDescent="0.1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c r="AA761" s="6"/>
      <c r="AB761" s="6"/>
      <c r="AC761" s="6"/>
      <c r="AD761" s="6"/>
      <c r="AE761" s="6"/>
      <c r="AF761" s="6"/>
      <c r="AG761" s="6"/>
      <c r="AH761" s="6"/>
      <c r="AI761" s="6"/>
      <c r="AJ761" s="6"/>
      <c r="AK761" s="6"/>
      <c r="AL761" s="6"/>
      <c r="AM761" s="6"/>
      <c r="AN761" s="6"/>
    </row>
    <row r="762" spans="1:40" ht="18.75" customHeight="1" x14ac:dyDescent="0.1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c r="AA762" s="6"/>
      <c r="AB762" s="6"/>
      <c r="AC762" s="6"/>
      <c r="AD762" s="6"/>
      <c r="AE762" s="6"/>
      <c r="AF762" s="6"/>
      <c r="AG762" s="6"/>
      <c r="AH762" s="6"/>
      <c r="AI762" s="6"/>
      <c r="AJ762" s="6"/>
      <c r="AK762" s="6"/>
      <c r="AL762" s="6"/>
      <c r="AM762" s="6"/>
      <c r="AN762" s="6"/>
    </row>
    <row r="763" spans="1:40" ht="18.75" customHeight="1" x14ac:dyDescent="0.1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c r="AA763" s="6"/>
      <c r="AB763" s="6"/>
      <c r="AC763" s="6"/>
      <c r="AD763" s="6"/>
      <c r="AE763" s="6"/>
      <c r="AF763" s="6"/>
      <c r="AG763" s="6"/>
      <c r="AH763" s="6"/>
      <c r="AI763" s="6"/>
      <c r="AJ763" s="6"/>
      <c r="AK763" s="6"/>
      <c r="AL763" s="6"/>
      <c r="AM763" s="6"/>
      <c r="AN763" s="6"/>
    </row>
    <row r="764" spans="1:40" ht="18.75" customHeight="1" x14ac:dyDescent="0.1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c r="AA764" s="6"/>
      <c r="AB764" s="6"/>
      <c r="AC764" s="6"/>
      <c r="AD764" s="6"/>
      <c r="AE764" s="6"/>
      <c r="AF764" s="6"/>
      <c r="AG764" s="6"/>
      <c r="AH764" s="6"/>
      <c r="AI764" s="6"/>
      <c r="AJ764" s="6"/>
      <c r="AK764" s="6"/>
      <c r="AL764" s="6"/>
      <c r="AM764" s="6"/>
      <c r="AN764" s="6"/>
    </row>
    <row r="765" spans="1:40" ht="18.75" customHeight="1" x14ac:dyDescent="0.1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c r="AA765" s="6"/>
      <c r="AB765" s="6"/>
      <c r="AC765" s="6"/>
      <c r="AD765" s="6"/>
      <c r="AE765" s="6"/>
      <c r="AF765" s="6"/>
      <c r="AG765" s="6"/>
      <c r="AH765" s="6"/>
      <c r="AI765" s="6"/>
      <c r="AJ765" s="6"/>
      <c r="AK765" s="6"/>
      <c r="AL765" s="6"/>
      <c r="AM765" s="6"/>
      <c r="AN765" s="6"/>
    </row>
    <row r="766" spans="1:40" ht="18.75" customHeight="1" x14ac:dyDescent="0.1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c r="AA766" s="6"/>
      <c r="AB766" s="6"/>
      <c r="AC766" s="6"/>
      <c r="AD766" s="6"/>
      <c r="AE766" s="6"/>
      <c r="AF766" s="6"/>
      <c r="AG766" s="6"/>
      <c r="AH766" s="6"/>
      <c r="AI766" s="6"/>
      <c r="AJ766" s="6"/>
      <c r="AK766" s="6"/>
      <c r="AL766" s="6"/>
      <c r="AM766" s="6"/>
      <c r="AN766" s="6"/>
    </row>
    <row r="767" spans="1:40" ht="18.75" customHeight="1" x14ac:dyDescent="0.1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c r="AA767" s="6"/>
      <c r="AB767" s="6"/>
      <c r="AC767" s="6"/>
      <c r="AD767" s="6"/>
      <c r="AE767" s="6"/>
      <c r="AF767" s="6"/>
      <c r="AG767" s="6"/>
      <c r="AH767" s="6"/>
      <c r="AI767" s="6"/>
      <c r="AJ767" s="6"/>
      <c r="AK767" s="6"/>
      <c r="AL767" s="6"/>
      <c r="AM767" s="6"/>
      <c r="AN767" s="6"/>
    </row>
    <row r="768" spans="1:40" ht="18.75" customHeight="1" x14ac:dyDescent="0.1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c r="AA768" s="6"/>
      <c r="AB768" s="6"/>
      <c r="AC768" s="6"/>
      <c r="AD768" s="6"/>
      <c r="AE768" s="6"/>
      <c r="AF768" s="6"/>
      <c r="AG768" s="6"/>
      <c r="AH768" s="6"/>
      <c r="AI768" s="6"/>
      <c r="AJ768" s="6"/>
      <c r="AK768" s="6"/>
      <c r="AL768" s="6"/>
      <c r="AM768" s="6"/>
      <c r="AN768" s="6"/>
    </row>
    <row r="769" spans="1:40" ht="18.75" customHeight="1" x14ac:dyDescent="0.1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c r="AA769" s="6"/>
      <c r="AB769" s="6"/>
      <c r="AC769" s="6"/>
      <c r="AD769" s="6"/>
      <c r="AE769" s="6"/>
      <c r="AF769" s="6"/>
      <c r="AG769" s="6"/>
      <c r="AH769" s="6"/>
      <c r="AI769" s="6"/>
      <c r="AJ769" s="6"/>
      <c r="AK769" s="6"/>
      <c r="AL769" s="6"/>
      <c r="AM769" s="6"/>
      <c r="AN769" s="6"/>
    </row>
    <row r="770" spans="1:40" ht="18.75" customHeight="1" x14ac:dyDescent="0.1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c r="AA770" s="6"/>
      <c r="AB770" s="6"/>
      <c r="AC770" s="6"/>
      <c r="AD770" s="6"/>
      <c r="AE770" s="6"/>
      <c r="AF770" s="6"/>
      <c r="AG770" s="6"/>
      <c r="AH770" s="6"/>
      <c r="AI770" s="6"/>
      <c r="AJ770" s="6"/>
      <c r="AK770" s="6"/>
      <c r="AL770" s="6"/>
      <c r="AM770" s="6"/>
      <c r="AN770" s="6"/>
    </row>
    <row r="771" spans="1:40" ht="18.75" customHeight="1" x14ac:dyDescent="0.1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c r="AA771" s="6"/>
      <c r="AB771" s="6"/>
      <c r="AC771" s="6"/>
      <c r="AD771" s="6"/>
      <c r="AE771" s="6"/>
      <c r="AF771" s="6"/>
      <c r="AG771" s="6"/>
      <c r="AH771" s="6"/>
      <c r="AI771" s="6"/>
      <c r="AJ771" s="6"/>
      <c r="AK771" s="6"/>
      <c r="AL771" s="6"/>
      <c r="AM771" s="6"/>
      <c r="AN771" s="6"/>
    </row>
    <row r="772" spans="1:40" ht="18.75" customHeight="1" x14ac:dyDescent="0.1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c r="AA772" s="6"/>
      <c r="AB772" s="6"/>
      <c r="AC772" s="6"/>
      <c r="AD772" s="6"/>
      <c r="AE772" s="6"/>
      <c r="AF772" s="6"/>
      <c r="AG772" s="6"/>
      <c r="AH772" s="6"/>
      <c r="AI772" s="6"/>
      <c r="AJ772" s="6"/>
      <c r="AK772" s="6"/>
      <c r="AL772" s="6"/>
      <c r="AM772" s="6"/>
      <c r="AN772" s="6"/>
    </row>
    <row r="773" spans="1:40" ht="18.75" customHeight="1" x14ac:dyDescent="0.1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c r="AA773" s="6"/>
      <c r="AB773" s="6"/>
      <c r="AC773" s="6"/>
      <c r="AD773" s="6"/>
      <c r="AE773" s="6"/>
      <c r="AF773" s="6"/>
      <c r="AG773" s="6"/>
      <c r="AH773" s="6"/>
      <c r="AI773" s="6"/>
      <c r="AJ773" s="6"/>
      <c r="AK773" s="6"/>
      <c r="AL773" s="6"/>
      <c r="AM773" s="6"/>
      <c r="AN773" s="6"/>
    </row>
    <row r="774" spans="1:40" ht="18.75" customHeight="1" x14ac:dyDescent="0.1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c r="AA774" s="6"/>
      <c r="AB774" s="6"/>
      <c r="AC774" s="6"/>
      <c r="AD774" s="6"/>
      <c r="AE774" s="6"/>
      <c r="AF774" s="6"/>
      <c r="AG774" s="6"/>
      <c r="AH774" s="6"/>
      <c r="AI774" s="6"/>
      <c r="AJ774" s="6"/>
      <c r="AK774" s="6"/>
      <c r="AL774" s="6"/>
      <c r="AM774" s="6"/>
      <c r="AN774" s="6"/>
    </row>
    <row r="775" spans="1:40" ht="18.75" customHeight="1" x14ac:dyDescent="0.1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c r="AA775" s="6"/>
      <c r="AB775" s="6"/>
      <c r="AC775" s="6"/>
      <c r="AD775" s="6"/>
      <c r="AE775" s="6"/>
      <c r="AF775" s="6"/>
      <c r="AG775" s="6"/>
      <c r="AH775" s="6"/>
      <c r="AI775" s="6"/>
      <c r="AJ775" s="6"/>
      <c r="AK775" s="6"/>
      <c r="AL775" s="6"/>
      <c r="AM775" s="6"/>
      <c r="AN775" s="6"/>
    </row>
    <row r="776" spans="1:40" ht="18.75" customHeight="1" x14ac:dyDescent="0.1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c r="AA776" s="6"/>
      <c r="AB776" s="6"/>
      <c r="AC776" s="6"/>
      <c r="AD776" s="6"/>
      <c r="AE776" s="6"/>
      <c r="AF776" s="6"/>
      <c r="AG776" s="6"/>
      <c r="AH776" s="6"/>
      <c r="AI776" s="6"/>
      <c r="AJ776" s="6"/>
      <c r="AK776" s="6"/>
      <c r="AL776" s="6"/>
      <c r="AM776" s="6"/>
      <c r="AN776" s="6"/>
    </row>
    <row r="777" spans="1:40" ht="18.75" customHeight="1" x14ac:dyDescent="0.1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c r="AA777" s="6"/>
      <c r="AB777" s="6"/>
      <c r="AC777" s="6"/>
      <c r="AD777" s="6"/>
      <c r="AE777" s="6"/>
      <c r="AF777" s="6"/>
      <c r="AG777" s="6"/>
      <c r="AH777" s="6"/>
      <c r="AI777" s="6"/>
      <c r="AJ777" s="6"/>
      <c r="AK777" s="6"/>
      <c r="AL777" s="6"/>
      <c r="AM777" s="6"/>
      <c r="AN777" s="6"/>
    </row>
    <row r="778" spans="1:40" ht="18.75" customHeight="1" x14ac:dyDescent="0.1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c r="AA778" s="6"/>
      <c r="AB778" s="6"/>
      <c r="AC778" s="6"/>
      <c r="AD778" s="6"/>
      <c r="AE778" s="6"/>
      <c r="AF778" s="6"/>
      <c r="AG778" s="6"/>
      <c r="AH778" s="6"/>
      <c r="AI778" s="6"/>
      <c r="AJ778" s="6"/>
      <c r="AK778" s="6"/>
      <c r="AL778" s="6"/>
      <c r="AM778" s="6"/>
      <c r="AN778" s="6"/>
    </row>
    <row r="779" spans="1:40" ht="18.75" customHeight="1" x14ac:dyDescent="0.1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c r="AA779" s="6"/>
      <c r="AB779" s="6"/>
      <c r="AC779" s="6"/>
      <c r="AD779" s="6"/>
      <c r="AE779" s="6"/>
      <c r="AF779" s="6"/>
      <c r="AG779" s="6"/>
      <c r="AH779" s="6"/>
      <c r="AI779" s="6"/>
      <c r="AJ779" s="6"/>
      <c r="AK779" s="6"/>
      <c r="AL779" s="6"/>
      <c r="AM779" s="6"/>
      <c r="AN779" s="6"/>
    </row>
    <row r="780" spans="1:40" ht="18.75" customHeight="1" x14ac:dyDescent="0.1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c r="AA780" s="6"/>
      <c r="AB780" s="6"/>
      <c r="AC780" s="6"/>
      <c r="AD780" s="6"/>
      <c r="AE780" s="6"/>
      <c r="AF780" s="6"/>
      <c r="AG780" s="6"/>
      <c r="AH780" s="6"/>
      <c r="AI780" s="6"/>
      <c r="AJ780" s="6"/>
      <c r="AK780" s="6"/>
      <c r="AL780" s="6"/>
      <c r="AM780" s="6"/>
      <c r="AN780" s="6"/>
    </row>
    <row r="781" spans="1:40" ht="18.75" customHeight="1" x14ac:dyDescent="0.1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c r="AA781" s="6"/>
      <c r="AB781" s="6"/>
      <c r="AC781" s="6"/>
      <c r="AD781" s="6"/>
      <c r="AE781" s="6"/>
      <c r="AF781" s="6"/>
      <c r="AG781" s="6"/>
      <c r="AH781" s="6"/>
      <c r="AI781" s="6"/>
      <c r="AJ781" s="6"/>
      <c r="AK781" s="6"/>
      <c r="AL781" s="6"/>
      <c r="AM781" s="6"/>
      <c r="AN781" s="6"/>
    </row>
    <row r="782" spans="1:40" ht="18.75" customHeight="1" x14ac:dyDescent="0.1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c r="AA782" s="6"/>
      <c r="AB782" s="6"/>
      <c r="AC782" s="6"/>
      <c r="AD782" s="6"/>
      <c r="AE782" s="6"/>
      <c r="AF782" s="6"/>
      <c r="AG782" s="6"/>
      <c r="AH782" s="6"/>
      <c r="AI782" s="6"/>
      <c r="AJ782" s="6"/>
      <c r="AK782" s="6"/>
      <c r="AL782" s="6"/>
      <c r="AM782" s="6"/>
      <c r="AN782" s="6"/>
    </row>
    <row r="783" spans="1:40" ht="18.75" customHeight="1" x14ac:dyDescent="0.1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c r="AA783" s="6"/>
      <c r="AB783" s="6"/>
      <c r="AC783" s="6"/>
      <c r="AD783" s="6"/>
      <c r="AE783" s="6"/>
      <c r="AF783" s="6"/>
      <c r="AG783" s="6"/>
      <c r="AH783" s="6"/>
      <c r="AI783" s="6"/>
      <c r="AJ783" s="6"/>
      <c r="AK783" s="6"/>
      <c r="AL783" s="6"/>
      <c r="AM783" s="6"/>
      <c r="AN783" s="6"/>
    </row>
    <row r="784" spans="1:40" ht="18.75" customHeight="1" x14ac:dyDescent="0.1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c r="AA784" s="6"/>
      <c r="AB784" s="6"/>
      <c r="AC784" s="6"/>
      <c r="AD784" s="6"/>
      <c r="AE784" s="6"/>
      <c r="AF784" s="6"/>
      <c r="AG784" s="6"/>
      <c r="AH784" s="6"/>
      <c r="AI784" s="6"/>
      <c r="AJ784" s="6"/>
      <c r="AK784" s="6"/>
      <c r="AL784" s="6"/>
      <c r="AM784" s="6"/>
      <c r="AN784" s="6"/>
    </row>
    <row r="785" spans="1:40" ht="18.75" customHeight="1" x14ac:dyDescent="0.1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c r="AA785" s="6"/>
      <c r="AB785" s="6"/>
      <c r="AC785" s="6"/>
      <c r="AD785" s="6"/>
      <c r="AE785" s="6"/>
      <c r="AF785" s="6"/>
      <c r="AG785" s="6"/>
      <c r="AH785" s="6"/>
      <c r="AI785" s="6"/>
      <c r="AJ785" s="6"/>
      <c r="AK785" s="6"/>
      <c r="AL785" s="6"/>
      <c r="AM785" s="6"/>
      <c r="AN785" s="6"/>
    </row>
    <row r="786" spans="1:40" ht="18.75" customHeight="1" x14ac:dyDescent="0.1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c r="AA786" s="6"/>
      <c r="AB786" s="6"/>
      <c r="AC786" s="6"/>
      <c r="AD786" s="6"/>
      <c r="AE786" s="6"/>
      <c r="AF786" s="6"/>
      <c r="AG786" s="6"/>
      <c r="AH786" s="6"/>
      <c r="AI786" s="6"/>
      <c r="AJ786" s="6"/>
      <c r="AK786" s="6"/>
      <c r="AL786" s="6"/>
      <c r="AM786" s="6"/>
      <c r="AN786" s="6"/>
    </row>
    <row r="787" spans="1:40" ht="18.75" customHeight="1" x14ac:dyDescent="0.1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c r="AA787" s="6"/>
      <c r="AB787" s="6"/>
      <c r="AC787" s="6"/>
      <c r="AD787" s="6"/>
      <c r="AE787" s="6"/>
      <c r="AF787" s="6"/>
      <c r="AG787" s="6"/>
      <c r="AH787" s="6"/>
      <c r="AI787" s="6"/>
      <c r="AJ787" s="6"/>
      <c r="AK787" s="6"/>
      <c r="AL787" s="6"/>
      <c r="AM787" s="6"/>
      <c r="AN787" s="6"/>
    </row>
    <row r="788" spans="1:40" ht="18.75" customHeight="1" x14ac:dyDescent="0.1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c r="AA788" s="6"/>
      <c r="AB788" s="6"/>
      <c r="AC788" s="6"/>
      <c r="AD788" s="6"/>
      <c r="AE788" s="6"/>
      <c r="AF788" s="6"/>
      <c r="AG788" s="6"/>
      <c r="AH788" s="6"/>
      <c r="AI788" s="6"/>
      <c r="AJ788" s="6"/>
      <c r="AK788" s="6"/>
      <c r="AL788" s="6"/>
      <c r="AM788" s="6"/>
      <c r="AN788" s="6"/>
    </row>
    <row r="789" spans="1:40" ht="18.75" customHeight="1" x14ac:dyDescent="0.1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c r="AA789" s="6"/>
      <c r="AB789" s="6"/>
      <c r="AC789" s="6"/>
      <c r="AD789" s="6"/>
      <c r="AE789" s="6"/>
      <c r="AF789" s="6"/>
      <c r="AG789" s="6"/>
      <c r="AH789" s="6"/>
      <c r="AI789" s="6"/>
      <c r="AJ789" s="6"/>
      <c r="AK789" s="6"/>
      <c r="AL789" s="6"/>
      <c r="AM789" s="6"/>
      <c r="AN789" s="6"/>
    </row>
    <row r="790" spans="1:40" ht="18.75" customHeight="1" x14ac:dyDescent="0.1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c r="AA790" s="6"/>
      <c r="AB790" s="6"/>
      <c r="AC790" s="6"/>
      <c r="AD790" s="6"/>
      <c r="AE790" s="6"/>
      <c r="AF790" s="6"/>
      <c r="AG790" s="6"/>
      <c r="AH790" s="6"/>
      <c r="AI790" s="6"/>
      <c r="AJ790" s="6"/>
      <c r="AK790" s="6"/>
      <c r="AL790" s="6"/>
      <c r="AM790" s="6"/>
      <c r="AN790" s="6"/>
    </row>
    <row r="791" spans="1:40" ht="18.75" customHeight="1" x14ac:dyDescent="0.1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c r="AA791" s="6"/>
      <c r="AB791" s="6"/>
      <c r="AC791" s="6"/>
      <c r="AD791" s="6"/>
      <c r="AE791" s="6"/>
      <c r="AF791" s="6"/>
      <c r="AG791" s="6"/>
      <c r="AH791" s="6"/>
      <c r="AI791" s="6"/>
      <c r="AJ791" s="6"/>
      <c r="AK791" s="6"/>
      <c r="AL791" s="6"/>
      <c r="AM791" s="6"/>
      <c r="AN791" s="6"/>
    </row>
    <row r="792" spans="1:40" ht="18.75" customHeight="1" x14ac:dyDescent="0.1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c r="AA792" s="6"/>
      <c r="AB792" s="6"/>
      <c r="AC792" s="6"/>
      <c r="AD792" s="6"/>
      <c r="AE792" s="6"/>
      <c r="AF792" s="6"/>
      <c r="AG792" s="6"/>
      <c r="AH792" s="6"/>
      <c r="AI792" s="6"/>
      <c r="AJ792" s="6"/>
      <c r="AK792" s="6"/>
      <c r="AL792" s="6"/>
      <c r="AM792" s="6"/>
      <c r="AN792" s="6"/>
    </row>
    <row r="793" spans="1:40" ht="18.75" customHeight="1" x14ac:dyDescent="0.1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c r="AA793" s="6"/>
      <c r="AB793" s="6"/>
      <c r="AC793" s="6"/>
      <c r="AD793" s="6"/>
      <c r="AE793" s="6"/>
      <c r="AF793" s="6"/>
      <c r="AG793" s="6"/>
      <c r="AH793" s="6"/>
      <c r="AI793" s="6"/>
      <c r="AJ793" s="6"/>
      <c r="AK793" s="6"/>
      <c r="AL793" s="6"/>
      <c r="AM793" s="6"/>
      <c r="AN793" s="6"/>
    </row>
    <row r="794" spans="1:40" ht="18.75" customHeight="1" x14ac:dyDescent="0.1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c r="AA794" s="6"/>
      <c r="AB794" s="6"/>
      <c r="AC794" s="6"/>
      <c r="AD794" s="6"/>
      <c r="AE794" s="6"/>
      <c r="AF794" s="6"/>
      <c r="AG794" s="6"/>
      <c r="AH794" s="6"/>
      <c r="AI794" s="6"/>
      <c r="AJ794" s="6"/>
      <c r="AK794" s="6"/>
      <c r="AL794" s="6"/>
      <c r="AM794" s="6"/>
      <c r="AN794" s="6"/>
    </row>
    <row r="795" spans="1:40" ht="18.75" customHeight="1" x14ac:dyDescent="0.1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c r="AA795" s="6"/>
      <c r="AB795" s="6"/>
      <c r="AC795" s="6"/>
      <c r="AD795" s="6"/>
      <c r="AE795" s="6"/>
      <c r="AF795" s="6"/>
      <c r="AG795" s="6"/>
      <c r="AH795" s="6"/>
      <c r="AI795" s="6"/>
      <c r="AJ795" s="6"/>
      <c r="AK795" s="6"/>
      <c r="AL795" s="6"/>
      <c r="AM795" s="6"/>
      <c r="AN795" s="6"/>
    </row>
    <row r="796" spans="1:40" ht="18.75" customHeight="1" x14ac:dyDescent="0.1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c r="AA796" s="6"/>
      <c r="AB796" s="6"/>
      <c r="AC796" s="6"/>
      <c r="AD796" s="6"/>
      <c r="AE796" s="6"/>
      <c r="AF796" s="6"/>
      <c r="AG796" s="6"/>
      <c r="AH796" s="6"/>
      <c r="AI796" s="6"/>
      <c r="AJ796" s="6"/>
      <c r="AK796" s="6"/>
      <c r="AL796" s="6"/>
      <c r="AM796" s="6"/>
      <c r="AN796" s="6"/>
    </row>
    <row r="797" spans="1:40" ht="18.75" customHeight="1" x14ac:dyDescent="0.1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c r="AA797" s="6"/>
      <c r="AB797" s="6"/>
      <c r="AC797" s="6"/>
      <c r="AD797" s="6"/>
      <c r="AE797" s="6"/>
      <c r="AF797" s="6"/>
      <c r="AG797" s="6"/>
      <c r="AH797" s="6"/>
      <c r="AI797" s="6"/>
      <c r="AJ797" s="6"/>
      <c r="AK797" s="6"/>
      <c r="AL797" s="6"/>
      <c r="AM797" s="6"/>
      <c r="AN797" s="6"/>
    </row>
    <row r="798" spans="1:40" ht="18.75" customHeight="1" x14ac:dyDescent="0.1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c r="AA798" s="6"/>
      <c r="AB798" s="6"/>
      <c r="AC798" s="6"/>
      <c r="AD798" s="6"/>
      <c r="AE798" s="6"/>
      <c r="AF798" s="6"/>
      <c r="AG798" s="6"/>
      <c r="AH798" s="6"/>
      <c r="AI798" s="6"/>
      <c r="AJ798" s="6"/>
      <c r="AK798" s="6"/>
      <c r="AL798" s="6"/>
      <c r="AM798" s="6"/>
      <c r="AN798" s="6"/>
    </row>
    <row r="799" spans="1:40" ht="18.75" customHeight="1" x14ac:dyDescent="0.1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c r="AA799" s="6"/>
      <c r="AB799" s="6"/>
      <c r="AC799" s="6"/>
      <c r="AD799" s="6"/>
      <c r="AE799" s="6"/>
      <c r="AF799" s="6"/>
      <c r="AG799" s="6"/>
      <c r="AH799" s="6"/>
      <c r="AI799" s="6"/>
      <c r="AJ799" s="6"/>
      <c r="AK799" s="6"/>
      <c r="AL799" s="6"/>
      <c r="AM799" s="6"/>
      <c r="AN799" s="6"/>
    </row>
    <row r="800" spans="1:40" ht="18.75" customHeight="1" x14ac:dyDescent="0.1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c r="AA800" s="6"/>
      <c r="AB800" s="6"/>
      <c r="AC800" s="6"/>
      <c r="AD800" s="6"/>
      <c r="AE800" s="6"/>
      <c r="AF800" s="6"/>
      <c r="AG800" s="6"/>
      <c r="AH800" s="6"/>
      <c r="AI800" s="6"/>
      <c r="AJ800" s="6"/>
      <c r="AK800" s="6"/>
      <c r="AL800" s="6"/>
      <c r="AM800" s="6"/>
      <c r="AN800" s="6"/>
    </row>
    <row r="801" spans="1:40" ht="18.75" customHeight="1" x14ac:dyDescent="0.1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c r="AA801" s="6"/>
      <c r="AB801" s="6"/>
      <c r="AC801" s="6"/>
      <c r="AD801" s="6"/>
      <c r="AE801" s="6"/>
      <c r="AF801" s="6"/>
      <c r="AG801" s="6"/>
      <c r="AH801" s="6"/>
      <c r="AI801" s="6"/>
      <c r="AJ801" s="6"/>
      <c r="AK801" s="6"/>
      <c r="AL801" s="6"/>
      <c r="AM801" s="6"/>
      <c r="AN801" s="6"/>
    </row>
    <row r="802" spans="1:40" ht="18.75" customHeight="1" x14ac:dyDescent="0.1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c r="AA802" s="6"/>
      <c r="AB802" s="6"/>
      <c r="AC802" s="6"/>
      <c r="AD802" s="6"/>
      <c r="AE802" s="6"/>
      <c r="AF802" s="6"/>
      <c r="AG802" s="6"/>
      <c r="AH802" s="6"/>
      <c r="AI802" s="6"/>
      <c r="AJ802" s="6"/>
      <c r="AK802" s="6"/>
      <c r="AL802" s="6"/>
      <c r="AM802" s="6"/>
      <c r="AN802" s="6"/>
    </row>
    <row r="803" spans="1:40" ht="18.75" customHeight="1" x14ac:dyDescent="0.1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c r="AA803" s="6"/>
      <c r="AB803" s="6"/>
      <c r="AC803" s="6"/>
      <c r="AD803" s="6"/>
      <c r="AE803" s="6"/>
      <c r="AF803" s="6"/>
      <c r="AG803" s="6"/>
      <c r="AH803" s="6"/>
      <c r="AI803" s="6"/>
      <c r="AJ803" s="6"/>
      <c r="AK803" s="6"/>
      <c r="AL803" s="6"/>
      <c r="AM803" s="6"/>
      <c r="AN803" s="6"/>
    </row>
    <row r="804" spans="1:40" ht="18.75" customHeight="1" x14ac:dyDescent="0.1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c r="AA804" s="6"/>
      <c r="AB804" s="6"/>
      <c r="AC804" s="6"/>
      <c r="AD804" s="6"/>
      <c r="AE804" s="6"/>
      <c r="AF804" s="6"/>
      <c r="AG804" s="6"/>
      <c r="AH804" s="6"/>
      <c r="AI804" s="6"/>
      <c r="AJ804" s="6"/>
      <c r="AK804" s="6"/>
      <c r="AL804" s="6"/>
      <c r="AM804" s="6"/>
      <c r="AN804" s="6"/>
    </row>
    <row r="805" spans="1:40" ht="18.75" customHeight="1" x14ac:dyDescent="0.1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c r="AA805" s="6"/>
      <c r="AB805" s="6"/>
      <c r="AC805" s="6"/>
      <c r="AD805" s="6"/>
      <c r="AE805" s="6"/>
      <c r="AF805" s="6"/>
      <c r="AG805" s="6"/>
      <c r="AH805" s="6"/>
      <c r="AI805" s="6"/>
      <c r="AJ805" s="6"/>
      <c r="AK805" s="6"/>
      <c r="AL805" s="6"/>
      <c r="AM805" s="6"/>
      <c r="AN805" s="6"/>
    </row>
    <row r="806" spans="1:40" ht="18.75" customHeight="1" x14ac:dyDescent="0.1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c r="AA806" s="6"/>
      <c r="AB806" s="6"/>
      <c r="AC806" s="6"/>
      <c r="AD806" s="6"/>
      <c r="AE806" s="6"/>
      <c r="AF806" s="6"/>
      <c r="AG806" s="6"/>
      <c r="AH806" s="6"/>
      <c r="AI806" s="6"/>
      <c r="AJ806" s="6"/>
      <c r="AK806" s="6"/>
      <c r="AL806" s="6"/>
      <c r="AM806" s="6"/>
      <c r="AN806" s="6"/>
    </row>
    <row r="807" spans="1:40" ht="18.75" customHeight="1" x14ac:dyDescent="0.1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c r="AA807" s="6"/>
      <c r="AB807" s="6"/>
      <c r="AC807" s="6"/>
      <c r="AD807" s="6"/>
      <c r="AE807" s="6"/>
      <c r="AF807" s="6"/>
      <c r="AG807" s="6"/>
      <c r="AH807" s="6"/>
      <c r="AI807" s="6"/>
      <c r="AJ807" s="6"/>
      <c r="AK807" s="6"/>
      <c r="AL807" s="6"/>
      <c r="AM807" s="6"/>
      <c r="AN807" s="6"/>
    </row>
    <row r="808" spans="1:40" ht="18.75" customHeight="1" x14ac:dyDescent="0.1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c r="AA808" s="6"/>
      <c r="AB808" s="6"/>
      <c r="AC808" s="6"/>
      <c r="AD808" s="6"/>
      <c r="AE808" s="6"/>
      <c r="AF808" s="6"/>
      <c r="AG808" s="6"/>
      <c r="AH808" s="6"/>
      <c r="AI808" s="6"/>
      <c r="AJ808" s="6"/>
      <c r="AK808" s="6"/>
      <c r="AL808" s="6"/>
      <c r="AM808" s="6"/>
      <c r="AN808" s="6"/>
    </row>
    <row r="809" spans="1:40" ht="18.75" customHeight="1" x14ac:dyDescent="0.1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c r="AA809" s="6"/>
      <c r="AB809" s="6"/>
      <c r="AC809" s="6"/>
      <c r="AD809" s="6"/>
      <c r="AE809" s="6"/>
      <c r="AF809" s="6"/>
      <c r="AG809" s="6"/>
      <c r="AH809" s="6"/>
      <c r="AI809" s="6"/>
      <c r="AJ809" s="6"/>
      <c r="AK809" s="6"/>
      <c r="AL809" s="6"/>
      <c r="AM809" s="6"/>
      <c r="AN809" s="6"/>
    </row>
    <row r="810" spans="1:40" ht="18.75" customHeight="1" x14ac:dyDescent="0.1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c r="AA810" s="6"/>
      <c r="AB810" s="6"/>
      <c r="AC810" s="6"/>
      <c r="AD810" s="6"/>
      <c r="AE810" s="6"/>
      <c r="AF810" s="6"/>
      <c r="AG810" s="6"/>
      <c r="AH810" s="6"/>
      <c r="AI810" s="6"/>
      <c r="AJ810" s="6"/>
      <c r="AK810" s="6"/>
      <c r="AL810" s="6"/>
      <c r="AM810" s="6"/>
      <c r="AN810" s="6"/>
    </row>
    <row r="811" spans="1:40" ht="18.75" customHeight="1" x14ac:dyDescent="0.1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c r="AA811" s="6"/>
      <c r="AB811" s="6"/>
      <c r="AC811" s="6"/>
      <c r="AD811" s="6"/>
      <c r="AE811" s="6"/>
      <c r="AF811" s="6"/>
      <c r="AG811" s="6"/>
      <c r="AH811" s="6"/>
      <c r="AI811" s="6"/>
      <c r="AJ811" s="6"/>
      <c r="AK811" s="6"/>
      <c r="AL811" s="6"/>
      <c r="AM811" s="6"/>
      <c r="AN811" s="6"/>
    </row>
    <row r="812" spans="1:40" ht="18.75" customHeight="1" x14ac:dyDescent="0.1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c r="AA812" s="6"/>
      <c r="AB812" s="6"/>
      <c r="AC812" s="6"/>
      <c r="AD812" s="6"/>
      <c r="AE812" s="6"/>
      <c r="AF812" s="6"/>
      <c r="AG812" s="6"/>
      <c r="AH812" s="6"/>
      <c r="AI812" s="6"/>
      <c r="AJ812" s="6"/>
      <c r="AK812" s="6"/>
      <c r="AL812" s="6"/>
      <c r="AM812" s="6"/>
      <c r="AN812" s="6"/>
    </row>
    <row r="813" spans="1:40" ht="18.75" customHeight="1" x14ac:dyDescent="0.1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c r="AA813" s="6"/>
      <c r="AB813" s="6"/>
      <c r="AC813" s="6"/>
      <c r="AD813" s="6"/>
      <c r="AE813" s="6"/>
      <c r="AF813" s="6"/>
      <c r="AG813" s="6"/>
      <c r="AH813" s="6"/>
      <c r="AI813" s="6"/>
      <c r="AJ813" s="6"/>
      <c r="AK813" s="6"/>
      <c r="AL813" s="6"/>
      <c r="AM813" s="6"/>
      <c r="AN813" s="6"/>
    </row>
    <row r="814" spans="1:40" ht="18.75" customHeight="1" x14ac:dyDescent="0.1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c r="AA814" s="6"/>
      <c r="AB814" s="6"/>
      <c r="AC814" s="6"/>
      <c r="AD814" s="6"/>
      <c r="AE814" s="6"/>
      <c r="AF814" s="6"/>
      <c r="AG814" s="6"/>
      <c r="AH814" s="6"/>
      <c r="AI814" s="6"/>
      <c r="AJ814" s="6"/>
      <c r="AK814" s="6"/>
      <c r="AL814" s="6"/>
      <c r="AM814" s="6"/>
      <c r="AN814" s="6"/>
    </row>
    <row r="815" spans="1:40" ht="18.75" customHeight="1" x14ac:dyDescent="0.1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c r="AA815" s="6"/>
      <c r="AB815" s="6"/>
      <c r="AC815" s="6"/>
      <c r="AD815" s="6"/>
      <c r="AE815" s="6"/>
      <c r="AF815" s="6"/>
      <c r="AG815" s="6"/>
      <c r="AH815" s="6"/>
      <c r="AI815" s="6"/>
      <c r="AJ815" s="6"/>
      <c r="AK815" s="6"/>
      <c r="AL815" s="6"/>
      <c r="AM815" s="6"/>
      <c r="AN815" s="6"/>
    </row>
    <row r="816" spans="1:40" ht="18.75" customHeight="1" x14ac:dyDescent="0.1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c r="AA816" s="6"/>
      <c r="AB816" s="6"/>
      <c r="AC816" s="6"/>
      <c r="AD816" s="6"/>
      <c r="AE816" s="6"/>
      <c r="AF816" s="6"/>
      <c r="AG816" s="6"/>
      <c r="AH816" s="6"/>
      <c r="AI816" s="6"/>
      <c r="AJ816" s="6"/>
      <c r="AK816" s="6"/>
      <c r="AL816" s="6"/>
      <c r="AM816" s="6"/>
      <c r="AN816" s="6"/>
    </row>
    <row r="817" spans="1:40" ht="18.75" customHeight="1" x14ac:dyDescent="0.1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c r="AA817" s="6"/>
      <c r="AB817" s="6"/>
      <c r="AC817" s="6"/>
      <c r="AD817" s="6"/>
      <c r="AE817" s="6"/>
      <c r="AF817" s="6"/>
      <c r="AG817" s="6"/>
      <c r="AH817" s="6"/>
      <c r="AI817" s="6"/>
      <c r="AJ817" s="6"/>
      <c r="AK817" s="6"/>
      <c r="AL817" s="6"/>
      <c r="AM817" s="6"/>
      <c r="AN817" s="6"/>
    </row>
    <row r="818" spans="1:40" ht="18.75" customHeight="1" x14ac:dyDescent="0.1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c r="AA818" s="6"/>
      <c r="AB818" s="6"/>
      <c r="AC818" s="6"/>
      <c r="AD818" s="6"/>
      <c r="AE818" s="6"/>
      <c r="AF818" s="6"/>
      <c r="AG818" s="6"/>
      <c r="AH818" s="6"/>
      <c r="AI818" s="6"/>
      <c r="AJ818" s="6"/>
      <c r="AK818" s="6"/>
      <c r="AL818" s="6"/>
      <c r="AM818" s="6"/>
      <c r="AN818" s="6"/>
    </row>
    <row r="819" spans="1:40" ht="18.75" customHeight="1" x14ac:dyDescent="0.1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c r="AA819" s="6"/>
      <c r="AB819" s="6"/>
      <c r="AC819" s="6"/>
      <c r="AD819" s="6"/>
      <c r="AE819" s="6"/>
      <c r="AF819" s="6"/>
      <c r="AG819" s="6"/>
      <c r="AH819" s="6"/>
      <c r="AI819" s="6"/>
      <c r="AJ819" s="6"/>
      <c r="AK819" s="6"/>
      <c r="AL819" s="6"/>
      <c r="AM819" s="6"/>
      <c r="AN819" s="6"/>
    </row>
    <row r="820" spans="1:40" ht="18.75" customHeight="1" x14ac:dyDescent="0.1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c r="AA820" s="6"/>
      <c r="AB820" s="6"/>
      <c r="AC820" s="6"/>
      <c r="AD820" s="6"/>
      <c r="AE820" s="6"/>
      <c r="AF820" s="6"/>
      <c r="AG820" s="6"/>
      <c r="AH820" s="6"/>
      <c r="AI820" s="6"/>
      <c r="AJ820" s="6"/>
      <c r="AK820" s="6"/>
      <c r="AL820" s="6"/>
      <c r="AM820" s="6"/>
      <c r="AN820" s="6"/>
    </row>
    <row r="821" spans="1:40" ht="18.75" customHeight="1" x14ac:dyDescent="0.1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c r="AA821" s="6"/>
      <c r="AB821" s="6"/>
      <c r="AC821" s="6"/>
      <c r="AD821" s="6"/>
      <c r="AE821" s="6"/>
      <c r="AF821" s="6"/>
      <c r="AG821" s="6"/>
      <c r="AH821" s="6"/>
      <c r="AI821" s="6"/>
      <c r="AJ821" s="6"/>
      <c r="AK821" s="6"/>
      <c r="AL821" s="6"/>
      <c r="AM821" s="6"/>
      <c r="AN821" s="6"/>
    </row>
    <row r="822" spans="1:40" ht="18.75" customHeight="1" x14ac:dyDescent="0.1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c r="AA822" s="6"/>
      <c r="AB822" s="6"/>
      <c r="AC822" s="6"/>
      <c r="AD822" s="6"/>
      <c r="AE822" s="6"/>
      <c r="AF822" s="6"/>
      <c r="AG822" s="6"/>
      <c r="AH822" s="6"/>
      <c r="AI822" s="6"/>
      <c r="AJ822" s="6"/>
      <c r="AK822" s="6"/>
      <c r="AL822" s="6"/>
      <c r="AM822" s="6"/>
      <c r="AN822" s="6"/>
    </row>
    <row r="823" spans="1:40" ht="18.75" customHeight="1" x14ac:dyDescent="0.1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c r="AA823" s="6"/>
      <c r="AB823" s="6"/>
      <c r="AC823" s="6"/>
      <c r="AD823" s="6"/>
      <c r="AE823" s="6"/>
      <c r="AF823" s="6"/>
      <c r="AG823" s="6"/>
      <c r="AH823" s="6"/>
      <c r="AI823" s="6"/>
      <c r="AJ823" s="6"/>
      <c r="AK823" s="6"/>
      <c r="AL823" s="6"/>
      <c r="AM823" s="6"/>
      <c r="AN823" s="6"/>
    </row>
    <row r="824" spans="1:40" ht="18.75" customHeight="1" x14ac:dyDescent="0.1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c r="AA824" s="6"/>
      <c r="AB824" s="6"/>
      <c r="AC824" s="6"/>
      <c r="AD824" s="6"/>
      <c r="AE824" s="6"/>
      <c r="AF824" s="6"/>
      <c r="AG824" s="6"/>
      <c r="AH824" s="6"/>
      <c r="AI824" s="6"/>
      <c r="AJ824" s="6"/>
      <c r="AK824" s="6"/>
      <c r="AL824" s="6"/>
      <c r="AM824" s="6"/>
      <c r="AN824" s="6"/>
    </row>
    <row r="825" spans="1:40" ht="18.75" customHeight="1" x14ac:dyDescent="0.1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c r="AA825" s="6"/>
      <c r="AB825" s="6"/>
      <c r="AC825" s="6"/>
      <c r="AD825" s="6"/>
      <c r="AE825" s="6"/>
      <c r="AF825" s="6"/>
      <c r="AG825" s="6"/>
      <c r="AH825" s="6"/>
      <c r="AI825" s="6"/>
      <c r="AJ825" s="6"/>
      <c r="AK825" s="6"/>
      <c r="AL825" s="6"/>
      <c r="AM825" s="6"/>
      <c r="AN825" s="6"/>
    </row>
    <row r="826" spans="1:40" ht="18.75" customHeight="1" x14ac:dyDescent="0.1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c r="AA826" s="6"/>
      <c r="AB826" s="6"/>
      <c r="AC826" s="6"/>
      <c r="AD826" s="6"/>
      <c r="AE826" s="6"/>
      <c r="AF826" s="6"/>
      <c r="AG826" s="6"/>
      <c r="AH826" s="6"/>
      <c r="AI826" s="6"/>
      <c r="AJ826" s="6"/>
      <c r="AK826" s="6"/>
      <c r="AL826" s="6"/>
      <c r="AM826" s="6"/>
      <c r="AN826" s="6"/>
    </row>
    <row r="827" spans="1:40" ht="18.75" customHeight="1" x14ac:dyDescent="0.1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c r="AA827" s="6"/>
      <c r="AB827" s="6"/>
      <c r="AC827" s="6"/>
      <c r="AD827" s="6"/>
      <c r="AE827" s="6"/>
      <c r="AF827" s="6"/>
      <c r="AG827" s="6"/>
      <c r="AH827" s="6"/>
      <c r="AI827" s="6"/>
      <c r="AJ827" s="6"/>
      <c r="AK827" s="6"/>
      <c r="AL827" s="6"/>
      <c r="AM827" s="6"/>
      <c r="AN827" s="6"/>
    </row>
    <row r="828" spans="1:40" ht="18.75" customHeight="1" x14ac:dyDescent="0.1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c r="AA828" s="6"/>
      <c r="AB828" s="6"/>
      <c r="AC828" s="6"/>
      <c r="AD828" s="6"/>
      <c r="AE828" s="6"/>
      <c r="AF828" s="6"/>
      <c r="AG828" s="6"/>
      <c r="AH828" s="6"/>
      <c r="AI828" s="6"/>
      <c r="AJ828" s="6"/>
      <c r="AK828" s="6"/>
      <c r="AL828" s="6"/>
      <c r="AM828" s="6"/>
      <c r="AN828" s="6"/>
    </row>
    <row r="829" spans="1:40" ht="18.75" customHeight="1" x14ac:dyDescent="0.1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c r="AA829" s="6"/>
      <c r="AB829" s="6"/>
      <c r="AC829" s="6"/>
      <c r="AD829" s="6"/>
      <c r="AE829" s="6"/>
      <c r="AF829" s="6"/>
      <c r="AG829" s="6"/>
      <c r="AH829" s="6"/>
      <c r="AI829" s="6"/>
      <c r="AJ829" s="6"/>
      <c r="AK829" s="6"/>
      <c r="AL829" s="6"/>
      <c r="AM829" s="6"/>
      <c r="AN829" s="6"/>
    </row>
    <row r="830" spans="1:40" ht="18.75" customHeight="1" x14ac:dyDescent="0.1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c r="AA830" s="6"/>
      <c r="AB830" s="6"/>
      <c r="AC830" s="6"/>
      <c r="AD830" s="6"/>
      <c r="AE830" s="6"/>
      <c r="AF830" s="6"/>
      <c r="AG830" s="6"/>
      <c r="AH830" s="6"/>
      <c r="AI830" s="6"/>
      <c r="AJ830" s="6"/>
      <c r="AK830" s="6"/>
      <c r="AL830" s="6"/>
      <c r="AM830" s="6"/>
      <c r="AN830" s="6"/>
    </row>
    <row r="831" spans="1:40" ht="18.75" customHeight="1" x14ac:dyDescent="0.1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c r="AA831" s="6"/>
      <c r="AB831" s="6"/>
      <c r="AC831" s="6"/>
      <c r="AD831" s="6"/>
      <c r="AE831" s="6"/>
      <c r="AF831" s="6"/>
      <c r="AG831" s="6"/>
      <c r="AH831" s="6"/>
      <c r="AI831" s="6"/>
      <c r="AJ831" s="6"/>
      <c r="AK831" s="6"/>
      <c r="AL831" s="6"/>
      <c r="AM831" s="6"/>
      <c r="AN831" s="6"/>
    </row>
    <row r="832" spans="1:40" ht="18.75" customHeight="1" x14ac:dyDescent="0.1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c r="AA832" s="6"/>
      <c r="AB832" s="6"/>
      <c r="AC832" s="6"/>
      <c r="AD832" s="6"/>
      <c r="AE832" s="6"/>
      <c r="AF832" s="6"/>
      <c r="AG832" s="6"/>
      <c r="AH832" s="6"/>
      <c r="AI832" s="6"/>
      <c r="AJ832" s="6"/>
      <c r="AK832" s="6"/>
      <c r="AL832" s="6"/>
      <c r="AM832" s="6"/>
      <c r="AN832" s="6"/>
    </row>
    <row r="833" spans="1:40" ht="18.75" customHeight="1" x14ac:dyDescent="0.1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c r="AA833" s="6"/>
      <c r="AB833" s="6"/>
      <c r="AC833" s="6"/>
      <c r="AD833" s="6"/>
      <c r="AE833" s="6"/>
      <c r="AF833" s="6"/>
      <c r="AG833" s="6"/>
      <c r="AH833" s="6"/>
      <c r="AI833" s="6"/>
      <c r="AJ833" s="6"/>
      <c r="AK833" s="6"/>
      <c r="AL833" s="6"/>
      <c r="AM833" s="6"/>
      <c r="AN833" s="6"/>
    </row>
    <row r="834" spans="1:40" ht="18.75" customHeight="1" x14ac:dyDescent="0.1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c r="AA834" s="6"/>
      <c r="AB834" s="6"/>
      <c r="AC834" s="6"/>
      <c r="AD834" s="6"/>
      <c r="AE834" s="6"/>
      <c r="AF834" s="6"/>
      <c r="AG834" s="6"/>
      <c r="AH834" s="6"/>
      <c r="AI834" s="6"/>
      <c r="AJ834" s="6"/>
      <c r="AK834" s="6"/>
      <c r="AL834" s="6"/>
      <c r="AM834" s="6"/>
      <c r="AN834" s="6"/>
    </row>
    <row r="835" spans="1:40" ht="18.75" customHeight="1" x14ac:dyDescent="0.1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c r="AA835" s="6"/>
      <c r="AB835" s="6"/>
      <c r="AC835" s="6"/>
      <c r="AD835" s="6"/>
      <c r="AE835" s="6"/>
      <c r="AF835" s="6"/>
      <c r="AG835" s="6"/>
      <c r="AH835" s="6"/>
      <c r="AI835" s="6"/>
      <c r="AJ835" s="6"/>
      <c r="AK835" s="6"/>
      <c r="AL835" s="6"/>
      <c r="AM835" s="6"/>
      <c r="AN835" s="6"/>
    </row>
    <row r="836" spans="1:40" ht="18.75" customHeight="1" x14ac:dyDescent="0.1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c r="AA836" s="6"/>
      <c r="AB836" s="6"/>
      <c r="AC836" s="6"/>
      <c r="AD836" s="6"/>
      <c r="AE836" s="6"/>
      <c r="AF836" s="6"/>
      <c r="AG836" s="6"/>
      <c r="AH836" s="6"/>
      <c r="AI836" s="6"/>
      <c r="AJ836" s="6"/>
      <c r="AK836" s="6"/>
      <c r="AL836" s="6"/>
      <c r="AM836" s="6"/>
      <c r="AN836" s="6"/>
    </row>
    <row r="837" spans="1:40" ht="18.75" customHeight="1" x14ac:dyDescent="0.1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c r="AA837" s="6"/>
      <c r="AB837" s="6"/>
      <c r="AC837" s="6"/>
      <c r="AD837" s="6"/>
      <c r="AE837" s="6"/>
      <c r="AF837" s="6"/>
      <c r="AG837" s="6"/>
      <c r="AH837" s="6"/>
      <c r="AI837" s="6"/>
      <c r="AJ837" s="6"/>
      <c r="AK837" s="6"/>
      <c r="AL837" s="6"/>
      <c r="AM837" s="6"/>
      <c r="AN837" s="6"/>
    </row>
    <row r="838" spans="1:40" ht="18.75" customHeight="1" x14ac:dyDescent="0.1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c r="AA838" s="6"/>
      <c r="AB838" s="6"/>
      <c r="AC838" s="6"/>
      <c r="AD838" s="6"/>
      <c r="AE838" s="6"/>
      <c r="AF838" s="6"/>
      <c r="AG838" s="6"/>
      <c r="AH838" s="6"/>
      <c r="AI838" s="6"/>
      <c r="AJ838" s="6"/>
      <c r="AK838" s="6"/>
      <c r="AL838" s="6"/>
      <c r="AM838" s="6"/>
      <c r="AN838" s="6"/>
    </row>
    <row r="839" spans="1:40" ht="18.75" customHeight="1" x14ac:dyDescent="0.1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c r="AA839" s="6"/>
      <c r="AB839" s="6"/>
      <c r="AC839" s="6"/>
      <c r="AD839" s="6"/>
      <c r="AE839" s="6"/>
      <c r="AF839" s="6"/>
      <c r="AG839" s="6"/>
      <c r="AH839" s="6"/>
      <c r="AI839" s="6"/>
      <c r="AJ839" s="6"/>
      <c r="AK839" s="6"/>
      <c r="AL839" s="6"/>
      <c r="AM839" s="6"/>
      <c r="AN839" s="6"/>
    </row>
    <row r="840" spans="1:40" ht="18.75" customHeight="1" x14ac:dyDescent="0.1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c r="AA840" s="6"/>
      <c r="AB840" s="6"/>
      <c r="AC840" s="6"/>
      <c r="AD840" s="6"/>
      <c r="AE840" s="6"/>
      <c r="AF840" s="6"/>
      <c r="AG840" s="6"/>
      <c r="AH840" s="6"/>
      <c r="AI840" s="6"/>
      <c r="AJ840" s="6"/>
      <c r="AK840" s="6"/>
      <c r="AL840" s="6"/>
      <c r="AM840" s="6"/>
      <c r="AN840" s="6"/>
    </row>
    <row r="841" spans="1:40" ht="18.75" customHeight="1" x14ac:dyDescent="0.1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c r="AA841" s="6"/>
      <c r="AB841" s="6"/>
      <c r="AC841" s="6"/>
      <c r="AD841" s="6"/>
      <c r="AE841" s="6"/>
      <c r="AF841" s="6"/>
      <c r="AG841" s="6"/>
      <c r="AH841" s="6"/>
      <c r="AI841" s="6"/>
      <c r="AJ841" s="6"/>
      <c r="AK841" s="6"/>
      <c r="AL841" s="6"/>
      <c r="AM841" s="6"/>
      <c r="AN841" s="6"/>
    </row>
    <row r="842" spans="1:40" ht="18.75" customHeight="1" x14ac:dyDescent="0.1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c r="AA842" s="6"/>
      <c r="AB842" s="6"/>
      <c r="AC842" s="6"/>
      <c r="AD842" s="6"/>
      <c r="AE842" s="6"/>
      <c r="AF842" s="6"/>
      <c r="AG842" s="6"/>
      <c r="AH842" s="6"/>
      <c r="AI842" s="6"/>
      <c r="AJ842" s="6"/>
      <c r="AK842" s="6"/>
      <c r="AL842" s="6"/>
      <c r="AM842" s="6"/>
      <c r="AN842" s="6"/>
    </row>
    <row r="843" spans="1:40" ht="18.75" customHeight="1" x14ac:dyDescent="0.1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c r="AA843" s="6"/>
      <c r="AB843" s="6"/>
      <c r="AC843" s="6"/>
      <c r="AD843" s="6"/>
      <c r="AE843" s="6"/>
      <c r="AF843" s="6"/>
      <c r="AG843" s="6"/>
      <c r="AH843" s="6"/>
      <c r="AI843" s="6"/>
      <c r="AJ843" s="6"/>
      <c r="AK843" s="6"/>
      <c r="AL843" s="6"/>
      <c r="AM843" s="6"/>
      <c r="AN843" s="6"/>
    </row>
    <row r="844" spans="1:40" ht="18.75" customHeight="1" x14ac:dyDescent="0.1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c r="AA844" s="6"/>
      <c r="AB844" s="6"/>
      <c r="AC844" s="6"/>
      <c r="AD844" s="6"/>
      <c r="AE844" s="6"/>
      <c r="AF844" s="6"/>
      <c r="AG844" s="6"/>
      <c r="AH844" s="6"/>
      <c r="AI844" s="6"/>
      <c r="AJ844" s="6"/>
      <c r="AK844" s="6"/>
      <c r="AL844" s="6"/>
      <c r="AM844" s="6"/>
      <c r="AN844" s="6"/>
    </row>
    <row r="845" spans="1:40" ht="18.75" customHeight="1" x14ac:dyDescent="0.1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c r="AA845" s="6"/>
      <c r="AB845" s="6"/>
      <c r="AC845" s="6"/>
      <c r="AD845" s="6"/>
      <c r="AE845" s="6"/>
      <c r="AF845" s="6"/>
      <c r="AG845" s="6"/>
      <c r="AH845" s="6"/>
      <c r="AI845" s="6"/>
      <c r="AJ845" s="6"/>
      <c r="AK845" s="6"/>
      <c r="AL845" s="6"/>
      <c r="AM845" s="6"/>
      <c r="AN845" s="6"/>
    </row>
    <row r="846" spans="1:40" ht="18.75" customHeight="1" x14ac:dyDescent="0.1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c r="AA846" s="6"/>
      <c r="AB846" s="6"/>
      <c r="AC846" s="6"/>
      <c r="AD846" s="6"/>
      <c r="AE846" s="6"/>
      <c r="AF846" s="6"/>
      <c r="AG846" s="6"/>
      <c r="AH846" s="6"/>
      <c r="AI846" s="6"/>
      <c r="AJ846" s="6"/>
      <c r="AK846" s="6"/>
      <c r="AL846" s="6"/>
      <c r="AM846" s="6"/>
      <c r="AN846" s="6"/>
    </row>
    <row r="847" spans="1:40" ht="18.75" customHeight="1" x14ac:dyDescent="0.1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c r="AA847" s="6"/>
      <c r="AB847" s="6"/>
      <c r="AC847" s="6"/>
      <c r="AD847" s="6"/>
      <c r="AE847" s="6"/>
      <c r="AF847" s="6"/>
      <c r="AG847" s="6"/>
      <c r="AH847" s="6"/>
      <c r="AI847" s="6"/>
      <c r="AJ847" s="6"/>
      <c r="AK847" s="6"/>
      <c r="AL847" s="6"/>
      <c r="AM847" s="6"/>
      <c r="AN847" s="6"/>
    </row>
    <row r="848" spans="1:40" ht="18.75" customHeight="1" x14ac:dyDescent="0.1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c r="AA848" s="6"/>
      <c r="AB848" s="6"/>
      <c r="AC848" s="6"/>
      <c r="AD848" s="6"/>
      <c r="AE848" s="6"/>
      <c r="AF848" s="6"/>
      <c r="AG848" s="6"/>
      <c r="AH848" s="6"/>
      <c r="AI848" s="6"/>
      <c r="AJ848" s="6"/>
      <c r="AK848" s="6"/>
      <c r="AL848" s="6"/>
      <c r="AM848" s="6"/>
      <c r="AN848" s="6"/>
    </row>
    <row r="849" spans="1:40" ht="18.75" customHeight="1" x14ac:dyDescent="0.1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c r="AA849" s="6"/>
      <c r="AB849" s="6"/>
      <c r="AC849" s="6"/>
      <c r="AD849" s="6"/>
      <c r="AE849" s="6"/>
      <c r="AF849" s="6"/>
      <c r="AG849" s="6"/>
      <c r="AH849" s="6"/>
      <c r="AI849" s="6"/>
      <c r="AJ849" s="6"/>
      <c r="AK849" s="6"/>
      <c r="AL849" s="6"/>
      <c r="AM849" s="6"/>
      <c r="AN849" s="6"/>
    </row>
    <row r="850" spans="1:40" ht="18.75" customHeight="1" x14ac:dyDescent="0.1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c r="AA850" s="6"/>
      <c r="AB850" s="6"/>
      <c r="AC850" s="6"/>
      <c r="AD850" s="6"/>
      <c r="AE850" s="6"/>
      <c r="AF850" s="6"/>
      <c r="AG850" s="6"/>
      <c r="AH850" s="6"/>
      <c r="AI850" s="6"/>
      <c r="AJ850" s="6"/>
      <c r="AK850" s="6"/>
      <c r="AL850" s="6"/>
      <c r="AM850" s="6"/>
      <c r="AN850" s="6"/>
    </row>
    <row r="851" spans="1:40" ht="18.75" customHeight="1" x14ac:dyDescent="0.1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c r="AA851" s="6"/>
      <c r="AB851" s="6"/>
      <c r="AC851" s="6"/>
      <c r="AD851" s="6"/>
      <c r="AE851" s="6"/>
      <c r="AF851" s="6"/>
      <c r="AG851" s="6"/>
      <c r="AH851" s="6"/>
      <c r="AI851" s="6"/>
      <c r="AJ851" s="6"/>
      <c r="AK851" s="6"/>
      <c r="AL851" s="6"/>
      <c r="AM851" s="6"/>
      <c r="AN851" s="6"/>
    </row>
    <row r="852" spans="1:40" ht="18.75" customHeight="1" x14ac:dyDescent="0.1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c r="AA852" s="6"/>
      <c r="AB852" s="6"/>
      <c r="AC852" s="6"/>
      <c r="AD852" s="6"/>
      <c r="AE852" s="6"/>
      <c r="AF852" s="6"/>
      <c r="AG852" s="6"/>
      <c r="AH852" s="6"/>
      <c r="AI852" s="6"/>
      <c r="AJ852" s="6"/>
      <c r="AK852" s="6"/>
      <c r="AL852" s="6"/>
      <c r="AM852" s="6"/>
      <c r="AN852" s="6"/>
    </row>
    <row r="853" spans="1:40" ht="18.75" customHeight="1" x14ac:dyDescent="0.1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c r="AA853" s="6"/>
      <c r="AB853" s="6"/>
      <c r="AC853" s="6"/>
      <c r="AD853" s="6"/>
      <c r="AE853" s="6"/>
      <c r="AF853" s="6"/>
      <c r="AG853" s="6"/>
      <c r="AH853" s="6"/>
      <c r="AI853" s="6"/>
      <c r="AJ853" s="6"/>
      <c r="AK853" s="6"/>
      <c r="AL853" s="6"/>
      <c r="AM853" s="6"/>
      <c r="AN853" s="6"/>
    </row>
    <row r="854" spans="1:40" ht="18.75" customHeight="1" x14ac:dyDescent="0.1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c r="AA854" s="6"/>
      <c r="AB854" s="6"/>
      <c r="AC854" s="6"/>
      <c r="AD854" s="6"/>
      <c r="AE854" s="6"/>
      <c r="AF854" s="6"/>
      <c r="AG854" s="6"/>
      <c r="AH854" s="6"/>
      <c r="AI854" s="6"/>
      <c r="AJ854" s="6"/>
      <c r="AK854" s="6"/>
      <c r="AL854" s="6"/>
      <c r="AM854" s="6"/>
      <c r="AN854" s="6"/>
    </row>
    <row r="855" spans="1:40" ht="18.75" customHeight="1" x14ac:dyDescent="0.1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c r="AA855" s="6"/>
      <c r="AB855" s="6"/>
      <c r="AC855" s="6"/>
      <c r="AD855" s="6"/>
      <c r="AE855" s="6"/>
      <c r="AF855" s="6"/>
      <c r="AG855" s="6"/>
      <c r="AH855" s="6"/>
      <c r="AI855" s="6"/>
      <c r="AJ855" s="6"/>
      <c r="AK855" s="6"/>
      <c r="AL855" s="6"/>
      <c r="AM855" s="6"/>
      <c r="AN855" s="6"/>
    </row>
    <row r="856" spans="1:40" ht="18.75" customHeight="1" x14ac:dyDescent="0.1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c r="AA856" s="6"/>
      <c r="AB856" s="6"/>
      <c r="AC856" s="6"/>
      <c r="AD856" s="6"/>
      <c r="AE856" s="6"/>
      <c r="AF856" s="6"/>
      <c r="AG856" s="6"/>
      <c r="AH856" s="6"/>
      <c r="AI856" s="6"/>
      <c r="AJ856" s="6"/>
      <c r="AK856" s="6"/>
      <c r="AL856" s="6"/>
      <c r="AM856" s="6"/>
      <c r="AN856" s="6"/>
    </row>
    <row r="857" spans="1:40" ht="18.75" customHeight="1" x14ac:dyDescent="0.1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c r="AA857" s="6"/>
      <c r="AB857" s="6"/>
      <c r="AC857" s="6"/>
      <c r="AD857" s="6"/>
      <c r="AE857" s="6"/>
      <c r="AF857" s="6"/>
      <c r="AG857" s="6"/>
      <c r="AH857" s="6"/>
      <c r="AI857" s="6"/>
      <c r="AJ857" s="6"/>
      <c r="AK857" s="6"/>
      <c r="AL857" s="6"/>
      <c r="AM857" s="6"/>
      <c r="AN857" s="6"/>
    </row>
    <row r="858" spans="1:40" ht="18.75" customHeight="1" x14ac:dyDescent="0.1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c r="AA858" s="6"/>
      <c r="AB858" s="6"/>
      <c r="AC858" s="6"/>
      <c r="AD858" s="6"/>
      <c r="AE858" s="6"/>
      <c r="AF858" s="6"/>
      <c r="AG858" s="6"/>
      <c r="AH858" s="6"/>
      <c r="AI858" s="6"/>
      <c r="AJ858" s="6"/>
      <c r="AK858" s="6"/>
      <c r="AL858" s="6"/>
      <c r="AM858" s="6"/>
      <c r="AN858" s="6"/>
    </row>
    <row r="859" spans="1:40" ht="18.75" customHeight="1" x14ac:dyDescent="0.1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c r="AA859" s="6"/>
      <c r="AB859" s="6"/>
      <c r="AC859" s="6"/>
      <c r="AD859" s="6"/>
      <c r="AE859" s="6"/>
      <c r="AF859" s="6"/>
      <c r="AG859" s="6"/>
      <c r="AH859" s="6"/>
      <c r="AI859" s="6"/>
      <c r="AJ859" s="6"/>
      <c r="AK859" s="6"/>
      <c r="AL859" s="6"/>
      <c r="AM859" s="6"/>
      <c r="AN859" s="6"/>
    </row>
    <row r="860" spans="1:40" ht="18.75" customHeight="1" x14ac:dyDescent="0.1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c r="AA860" s="6"/>
      <c r="AB860" s="6"/>
      <c r="AC860" s="6"/>
      <c r="AD860" s="6"/>
      <c r="AE860" s="6"/>
      <c r="AF860" s="6"/>
      <c r="AG860" s="6"/>
      <c r="AH860" s="6"/>
      <c r="AI860" s="6"/>
      <c r="AJ860" s="6"/>
      <c r="AK860" s="6"/>
      <c r="AL860" s="6"/>
      <c r="AM860" s="6"/>
      <c r="AN860" s="6"/>
    </row>
    <row r="861" spans="1:40" ht="18.75" customHeight="1" x14ac:dyDescent="0.1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c r="AA861" s="6"/>
      <c r="AB861" s="6"/>
      <c r="AC861" s="6"/>
      <c r="AD861" s="6"/>
      <c r="AE861" s="6"/>
      <c r="AF861" s="6"/>
      <c r="AG861" s="6"/>
      <c r="AH861" s="6"/>
      <c r="AI861" s="6"/>
      <c r="AJ861" s="6"/>
      <c r="AK861" s="6"/>
      <c r="AL861" s="6"/>
      <c r="AM861" s="6"/>
      <c r="AN861" s="6"/>
    </row>
    <row r="862" spans="1:40" ht="18.75" customHeight="1" x14ac:dyDescent="0.1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c r="AA862" s="6"/>
      <c r="AB862" s="6"/>
      <c r="AC862" s="6"/>
      <c r="AD862" s="6"/>
      <c r="AE862" s="6"/>
      <c r="AF862" s="6"/>
      <c r="AG862" s="6"/>
      <c r="AH862" s="6"/>
      <c r="AI862" s="6"/>
      <c r="AJ862" s="6"/>
      <c r="AK862" s="6"/>
      <c r="AL862" s="6"/>
      <c r="AM862" s="6"/>
      <c r="AN862" s="6"/>
    </row>
    <row r="863" spans="1:40" ht="18.75" customHeight="1" x14ac:dyDescent="0.1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c r="AA863" s="6"/>
      <c r="AB863" s="6"/>
      <c r="AC863" s="6"/>
      <c r="AD863" s="6"/>
      <c r="AE863" s="6"/>
      <c r="AF863" s="6"/>
      <c r="AG863" s="6"/>
      <c r="AH863" s="6"/>
      <c r="AI863" s="6"/>
      <c r="AJ863" s="6"/>
      <c r="AK863" s="6"/>
      <c r="AL863" s="6"/>
      <c r="AM863" s="6"/>
      <c r="AN863" s="6"/>
    </row>
    <row r="864" spans="1:40" ht="18.75" customHeight="1" x14ac:dyDescent="0.1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c r="AA864" s="6"/>
      <c r="AB864" s="6"/>
      <c r="AC864" s="6"/>
      <c r="AD864" s="6"/>
      <c r="AE864" s="6"/>
      <c r="AF864" s="6"/>
      <c r="AG864" s="6"/>
      <c r="AH864" s="6"/>
      <c r="AI864" s="6"/>
      <c r="AJ864" s="6"/>
      <c r="AK864" s="6"/>
      <c r="AL864" s="6"/>
      <c r="AM864" s="6"/>
      <c r="AN864" s="6"/>
    </row>
    <row r="865" spans="1:40" ht="18.75" customHeight="1" x14ac:dyDescent="0.1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c r="AA865" s="6"/>
      <c r="AB865" s="6"/>
      <c r="AC865" s="6"/>
      <c r="AD865" s="6"/>
      <c r="AE865" s="6"/>
      <c r="AF865" s="6"/>
      <c r="AG865" s="6"/>
      <c r="AH865" s="6"/>
      <c r="AI865" s="6"/>
      <c r="AJ865" s="6"/>
      <c r="AK865" s="6"/>
      <c r="AL865" s="6"/>
      <c r="AM865" s="6"/>
      <c r="AN865" s="6"/>
    </row>
    <row r="866" spans="1:40" ht="18.75" customHeight="1" x14ac:dyDescent="0.1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c r="AA866" s="6"/>
      <c r="AB866" s="6"/>
      <c r="AC866" s="6"/>
      <c r="AD866" s="6"/>
      <c r="AE866" s="6"/>
      <c r="AF866" s="6"/>
      <c r="AG866" s="6"/>
      <c r="AH866" s="6"/>
      <c r="AI866" s="6"/>
      <c r="AJ866" s="6"/>
      <c r="AK866" s="6"/>
      <c r="AL866" s="6"/>
      <c r="AM866" s="6"/>
      <c r="AN866" s="6"/>
    </row>
    <row r="867" spans="1:40" ht="18.75" customHeight="1" x14ac:dyDescent="0.1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c r="AA867" s="6"/>
      <c r="AB867" s="6"/>
      <c r="AC867" s="6"/>
      <c r="AD867" s="6"/>
      <c r="AE867" s="6"/>
      <c r="AF867" s="6"/>
      <c r="AG867" s="6"/>
      <c r="AH867" s="6"/>
      <c r="AI867" s="6"/>
      <c r="AJ867" s="6"/>
      <c r="AK867" s="6"/>
      <c r="AL867" s="6"/>
      <c r="AM867" s="6"/>
      <c r="AN867" s="6"/>
    </row>
    <row r="868" spans="1:40" ht="18.75" customHeight="1" x14ac:dyDescent="0.1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c r="AA868" s="6"/>
      <c r="AB868" s="6"/>
      <c r="AC868" s="6"/>
      <c r="AD868" s="6"/>
      <c r="AE868" s="6"/>
      <c r="AF868" s="6"/>
      <c r="AG868" s="6"/>
      <c r="AH868" s="6"/>
      <c r="AI868" s="6"/>
      <c r="AJ868" s="6"/>
      <c r="AK868" s="6"/>
      <c r="AL868" s="6"/>
      <c r="AM868" s="6"/>
      <c r="AN868" s="6"/>
    </row>
    <row r="869" spans="1:40" ht="18.75" customHeight="1" x14ac:dyDescent="0.1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c r="AA869" s="6"/>
      <c r="AB869" s="6"/>
      <c r="AC869" s="6"/>
      <c r="AD869" s="6"/>
      <c r="AE869" s="6"/>
      <c r="AF869" s="6"/>
      <c r="AG869" s="6"/>
      <c r="AH869" s="6"/>
      <c r="AI869" s="6"/>
      <c r="AJ869" s="6"/>
      <c r="AK869" s="6"/>
      <c r="AL869" s="6"/>
      <c r="AM869" s="6"/>
      <c r="AN869" s="6"/>
    </row>
    <row r="870" spans="1:40" ht="18.75" customHeight="1" x14ac:dyDescent="0.1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c r="AA870" s="6"/>
      <c r="AB870" s="6"/>
      <c r="AC870" s="6"/>
      <c r="AD870" s="6"/>
      <c r="AE870" s="6"/>
      <c r="AF870" s="6"/>
      <c r="AG870" s="6"/>
      <c r="AH870" s="6"/>
      <c r="AI870" s="6"/>
      <c r="AJ870" s="6"/>
      <c r="AK870" s="6"/>
      <c r="AL870" s="6"/>
      <c r="AM870" s="6"/>
      <c r="AN870" s="6"/>
    </row>
    <row r="871" spans="1:40" ht="18.75" customHeight="1" x14ac:dyDescent="0.1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c r="AA871" s="6"/>
      <c r="AB871" s="6"/>
      <c r="AC871" s="6"/>
      <c r="AD871" s="6"/>
      <c r="AE871" s="6"/>
      <c r="AF871" s="6"/>
      <c r="AG871" s="6"/>
      <c r="AH871" s="6"/>
      <c r="AI871" s="6"/>
      <c r="AJ871" s="6"/>
      <c r="AK871" s="6"/>
      <c r="AL871" s="6"/>
      <c r="AM871" s="6"/>
      <c r="AN871" s="6"/>
    </row>
    <row r="872" spans="1:40" ht="18.75" customHeight="1" x14ac:dyDescent="0.1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c r="AA872" s="6"/>
      <c r="AB872" s="6"/>
      <c r="AC872" s="6"/>
      <c r="AD872" s="6"/>
      <c r="AE872" s="6"/>
      <c r="AF872" s="6"/>
      <c r="AG872" s="6"/>
      <c r="AH872" s="6"/>
      <c r="AI872" s="6"/>
      <c r="AJ872" s="6"/>
      <c r="AK872" s="6"/>
      <c r="AL872" s="6"/>
      <c r="AM872" s="6"/>
      <c r="AN872" s="6"/>
    </row>
    <row r="873" spans="1:40" ht="18.75" customHeight="1" x14ac:dyDescent="0.1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c r="AA873" s="6"/>
      <c r="AB873" s="6"/>
      <c r="AC873" s="6"/>
      <c r="AD873" s="6"/>
      <c r="AE873" s="6"/>
      <c r="AF873" s="6"/>
      <c r="AG873" s="6"/>
      <c r="AH873" s="6"/>
      <c r="AI873" s="6"/>
      <c r="AJ873" s="6"/>
      <c r="AK873" s="6"/>
      <c r="AL873" s="6"/>
      <c r="AM873" s="6"/>
      <c r="AN873" s="6"/>
    </row>
    <row r="874" spans="1:40" ht="18.75" customHeight="1" x14ac:dyDescent="0.1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c r="AA874" s="6"/>
      <c r="AB874" s="6"/>
      <c r="AC874" s="6"/>
      <c r="AD874" s="6"/>
      <c r="AE874" s="6"/>
      <c r="AF874" s="6"/>
      <c r="AG874" s="6"/>
      <c r="AH874" s="6"/>
      <c r="AI874" s="6"/>
      <c r="AJ874" s="6"/>
      <c r="AK874" s="6"/>
      <c r="AL874" s="6"/>
      <c r="AM874" s="6"/>
      <c r="AN874" s="6"/>
    </row>
    <row r="875" spans="1:40" ht="18.75" customHeight="1" x14ac:dyDescent="0.1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c r="AA875" s="6"/>
      <c r="AB875" s="6"/>
      <c r="AC875" s="6"/>
      <c r="AD875" s="6"/>
      <c r="AE875" s="6"/>
      <c r="AF875" s="6"/>
      <c r="AG875" s="6"/>
      <c r="AH875" s="6"/>
      <c r="AI875" s="6"/>
      <c r="AJ875" s="6"/>
      <c r="AK875" s="6"/>
      <c r="AL875" s="6"/>
      <c r="AM875" s="6"/>
      <c r="AN875" s="6"/>
    </row>
    <row r="876" spans="1:40" ht="18.75" customHeight="1" x14ac:dyDescent="0.1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c r="AA876" s="6"/>
      <c r="AB876" s="6"/>
      <c r="AC876" s="6"/>
      <c r="AD876" s="6"/>
      <c r="AE876" s="6"/>
      <c r="AF876" s="6"/>
      <c r="AG876" s="6"/>
      <c r="AH876" s="6"/>
      <c r="AI876" s="6"/>
      <c r="AJ876" s="6"/>
      <c r="AK876" s="6"/>
      <c r="AL876" s="6"/>
      <c r="AM876" s="6"/>
      <c r="AN876" s="6"/>
    </row>
    <row r="877" spans="1:40" ht="18.75" customHeight="1" x14ac:dyDescent="0.1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c r="AA877" s="6"/>
      <c r="AB877" s="6"/>
      <c r="AC877" s="6"/>
      <c r="AD877" s="6"/>
      <c r="AE877" s="6"/>
      <c r="AF877" s="6"/>
      <c r="AG877" s="6"/>
      <c r="AH877" s="6"/>
      <c r="AI877" s="6"/>
      <c r="AJ877" s="6"/>
      <c r="AK877" s="6"/>
      <c r="AL877" s="6"/>
      <c r="AM877" s="6"/>
      <c r="AN877" s="6"/>
    </row>
    <row r="878" spans="1:40" ht="18.75" customHeight="1" x14ac:dyDescent="0.1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c r="AA878" s="6"/>
      <c r="AB878" s="6"/>
      <c r="AC878" s="6"/>
      <c r="AD878" s="6"/>
      <c r="AE878" s="6"/>
      <c r="AF878" s="6"/>
      <c r="AG878" s="6"/>
      <c r="AH878" s="6"/>
      <c r="AI878" s="6"/>
      <c r="AJ878" s="6"/>
      <c r="AK878" s="6"/>
      <c r="AL878" s="6"/>
      <c r="AM878" s="6"/>
      <c r="AN878" s="6"/>
    </row>
    <row r="879" spans="1:40" ht="18.75" customHeight="1" x14ac:dyDescent="0.1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c r="AA879" s="6"/>
      <c r="AB879" s="6"/>
      <c r="AC879" s="6"/>
      <c r="AD879" s="6"/>
      <c r="AE879" s="6"/>
      <c r="AF879" s="6"/>
      <c r="AG879" s="6"/>
      <c r="AH879" s="6"/>
      <c r="AI879" s="6"/>
      <c r="AJ879" s="6"/>
      <c r="AK879" s="6"/>
      <c r="AL879" s="6"/>
      <c r="AM879" s="6"/>
      <c r="AN879" s="6"/>
    </row>
    <row r="880" spans="1:40" ht="18.75" customHeight="1" x14ac:dyDescent="0.1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c r="AA880" s="6"/>
      <c r="AB880" s="6"/>
      <c r="AC880" s="6"/>
      <c r="AD880" s="6"/>
      <c r="AE880" s="6"/>
      <c r="AF880" s="6"/>
      <c r="AG880" s="6"/>
      <c r="AH880" s="6"/>
      <c r="AI880" s="6"/>
      <c r="AJ880" s="6"/>
      <c r="AK880" s="6"/>
      <c r="AL880" s="6"/>
      <c r="AM880" s="6"/>
      <c r="AN880" s="6"/>
    </row>
    <row r="881" spans="1:40" ht="18.75" customHeight="1" x14ac:dyDescent="0.1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c r="AA881" s="6"/>
      <c r="AB881" s="6"/>
      <c r="AC881" s="6"/>
      <c r="AD881" s="6"/>
      <c r="AE881" s="6"/>
      <c r="AF881" s="6"/>
      <c r="AG881" s="6"/>
      <c r="AH881" s="6"/>
      <c r="AI881" s="6"/>
      <c r="AJ881" s="6"/>
      <c r="AK881" s="6"/>
      <c r="AL881" s="6"/>
      <c r="AM881" s="6"/>
      <c r="AN881" s="6"/>
    </row>
    <row r="882" spans="1:40" ht="18.75" customHeight="1" x14ac:dyDescent="0.1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c r="AA882" s="6"/>
      <c r="AB882" s="6"/>
      <c r="AC882" s="6"/>
      <c r="AD882" s="6"/>
      <c r="AE882" s="6"/>
      <c r="AF882" s="6"/>
      <c r="AG882" s="6"/>
      <c r="AH882" s="6"/>
      <c r="AI882" s="6"/>
      <c r="AJ882" s="6"/>
      <c r="AK882" s="6"/>
      <c r="AL882" s="6"/>
      <c r="AM882" s="6"/>
      <c r="AN882" s="6"/>
    </row>
    <row r="883" spans="1:40" ht="18.75" customHeight="1" x14ac:dyDescent="0.1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c r="AA883" s="6"/>
      <c r="AB883" s="6"/>
      <c r="AC883" s="6"/>
      <c r="AD883" s="6"/>
      <c r="AE883" s="6"/>
      <c r="AF883" s="6"/>
      <c r="AG883" s="6"/>
      <c r="AH883" s="6"/>
      <c r="AI883" s="6"/>
      <c r="AJ883" s="6"/>
      <c r="AK883" s="6"/>
      <c r="AL883" s="6"/>
      <c r="AM883" s="6"/>
      <c r="AN883" s="6"/>
    </row>
    <row r="884" spans="1:40" ht="18.75" customHeight="1" x14ac:dyDescent="0.1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c r="AA884" s="6"/>
      <c r="AB884" s="6"/>
      <c r="AC884" s="6"/>
      <c r="AD884" s="6"/>
      <c r="AE884" s="6"/>
      <c r="AF884" s="6"/>
      <c r="AG884" s="6"/>
      <c r="AH884" s="6"/>
      <c r="AI884" s="6"/>
      <c r="AJ884" s="6"/>
      <c r="AK884" s="6"/>
      <c r="AL884" s="6"/>
      <c r="AM884" s="6"/>
      <c r="AN884" s="6"/>
    </row>
    <row r="885" spans="1:40" ht="18.75" customHeight="1" x14ac:dyDescent="0.1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c r="AA885" s="6"/>
      <c r="AB885" s="6"/>
      <c r="AC885" s="6"/>
      <c r="AD885" s="6"/>
      <c r="AE885" s="6"/>
      <c r="AF885" s="6"/>
      <c r="AG885" s="6"/>
      <c r="AH885" s="6"/>
      <c r="AI885" s="6"/>
      <c r="AJ885" s="6"/>
      <c r="AK885" s="6"/>
      <c r="AL885" s="6"/>
      <c r="AM885" s="6"/>
      <c r="AN885" s="6"/>
    </row>
    <row r="886" spans="1:40" ht="18.75" customHeight="1" x14ac:dyDescent="0.1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c r="AA886" s="6"/>
      <c r="AB886" s="6"/>
      <c r="AC886" s="6"/>
      <c r="AD886" s="6"/>
      <c r="AE886" s="6"/>
      <c r="AF886" s="6"/>
      <c r="AG886" s="6"/>
      <c r="AH886" s="6"/>
      <c r="AI886" s="6"/>
      <c r="AJ886" s="6"/>
      <c r="AK886" s="6"/>
      <c r="AL886" s="6"/>
      <c r="AM886" s="6"/>
      <c r="AN886" s="6"/>
    </row>
    <row r="887" spans="1:40" ht="18.75" customHeight="1" x14ac:dyDescent="0.1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row>
    <row r="888" spans="1:40" ht="18.75" customHeight="1" x14ac:dyDescent="0.1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6"/>
    </row>
    <row r="889" spans="1:40" ht="18.75" customHeight="1" x14ac:dyDescent="0.1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c r="AA889" s="6"/>
      <c r="AB889" s="6"/>
      <c r="AC889" s="6"/>
      <c r="AD889" s="6"/>
      <c r="AE889" s="6"/>
      <c r="AF889" s="6"/>
      <c r="AG889" s="6"/>
      <c r="AH889" s="6"/>
      <c r="AI889" s="6"/>
      <c r="AJ889" s="6"/>
      <c r="AK889" s="6"/>
      <c r="AL889" s="6"/>
      <c r="AM889" s="6"/>
      <c r="AN889" s="6"/>
    </row>
    <row r="890" spans="1:40" ht="18.75" customHeight="1" x14ac:dyDescent="0.1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c r="AA890" s="6"/>
      <c r="AB890" s="6"/>
      <c r="AC890" s="6"/>
      <c r="AD890" s="6"/>
      <c r="AE890" s="6"/>
      <c r="AF890" s="6"/>
      <c r="AG890" s="6"/>
      <c r="AH890" s="6"/>
      <c r="AI890" s="6"/>
      <c r="AJ890" s="6"/>
      <c r="AK890" s="6"/>
      <c r="AL890" s="6"/>
      <c r="AM890" s="6"/>
      <c r="AN890" s="6"/>
    </row>
    <row r="891" spans="1:40" ht="18.75" customHeight="1" x14ac:dyDescent="0.1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c r="AA891" s="6"/>
      <c r="AB891" s="6"/>
      <c r="AC891" s="6"/>
      <c r="AD891" s="6"/>
      <c r="AE891" s="6"/>
      <c r="AF891" s="6"/>
      <c r="AG891" s="6"/>
      <c r="AH891" s="6"/>
      <c r="AI891" s="6"/>
      <c r="AJ891" s="6"/>
      <c r="AK891" s="6"/>
      <c r="AL891" s="6"/>
      <c r="AM891" s="6"/>
      <c r="AN891" s="6"/>
    </row>
    <row r="892" spans="1:40" ht="18.75" customHeight="1" x14ac:dyDescent="0.1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c r="AA892" s="6"/>
      <c r="AB892" s="6"/>
      <c r="AC892" s="6"/>
      <c r="AD892" s="6"/>
      <c r="AE892" s="6"/>
      <c r="AF892" s="6"/>
      <c r="AG892" s="6"/>
      <c r="AH892" s="6"/>
      <c r="AI892" s="6"/>
      <c r="AJ892" s="6"/>
      <c r="AK892" s="6"/>
      <c r="AL892" s="6"/>
      <c r="AM892" s="6"/>
      <c r="AN892" s="6"/>
    </row>
    <row r="893" spans="1:40" ht="18.75" customHeight="1" x14ac:dyDescent="0.1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c r="AA893" s="6"/>
      <c r="AB893" s="6"/>
      <c r="AC893" s="6"/>
      <c r="AD893" s="6"/>
      <c r="AE893" s="6"/>
      <c r="AF893" s="6"/>
      <c r="AG893" s="6"/>
      <c r="AH893" s="6"/>
      <c r="AI893" s="6"/>
      <c r="AJ893" s="6"/>
      <c r="AK893" s="6"/>
      <c r="AL893" s="6"/>
      <c r="AM893" s="6"/>
      <c r="AN893" s="6"/>
    </row>
    <row r="894" spans="1:40" ht="18.75" customHeight="1" x14ac:dyDescent="0.1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c r="AA894" s="6"/>
      <c r="AB894" s="6"/>
      <c r="AC894" s="6"/>
      <c r="AD894" s="6"/>
      <c r="AE894" s="6"/>
      <c r="AF894" s="6"/>
      <c r="AG894" s="6"/>
      <c r="AH894" s="6"/>
      <c r="AI894" s="6"/>
      <c r="AJ894" s="6"/>
      <c r="AK894" s="6"/>
      <c r="AL894" s="6"/>
      <c r="AM894" s="6"/>
      <c r="AN894" s="6"/>
    </row>
    <row r="895" spans="1:40" ht="18.75" customHeight="1" x14ac:dyDescent="0.1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c r="AA895" s="6"/>
      <c r="AB895" s="6"/>
      <c r="AC895" s="6"/>
      <c r="AD895" s="6"/>
      <c r="AE895" s="6"/>
      <c r="AF895" s="6"/>
      <c r="AG895" s="6"/>
      <c r="AH895" s="6"/>
      <c r="AI895" s="6"/>
      <c r="AJ895" s="6"/>
      <c r="AK895" s="6"/>
      <c r="AL895" s="6"/>
      <c r="AM895" s="6"/>
      <c r="AN895" s="6"/>
    </row>
    <row r="896" spans="1:40" ht="18.75" customHeight="1" x14ac:dyDescent="0.1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c r="AA896" s="6"/>
      <c r="AB896" s="6"/>
      <c r="AC896" s="6"/>
      <c r="AD896" s="6"/>
      <c r="AE896" s="6"/>
      <c r="AF896" s="6"/>
      <c r="AG896" s="6"/>
      <c r="AH896" s="6"/>
      <c r="AI896" s="6"/>
      <c r="AJ896" s="6"/>
      <c r="AK896" s="6"/>
      <c r="AL896" s="6"/>
      <c r="AM896" s="6"/>
      <c r="AN896" s="6"/>
    </row>
    <row r="897" spans="1:40" ht="18.75" customHeight="1" x14ac:dyDescent="0.1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c r="AA897" s="6"/>
      <c r="AB897" s="6"/>
      <c r="AC897" s="6"/>
      <c r="AD897" s="6"/>
      <c r="AE897" s="6"/>
      <c r="AF897" s="6"/>
      <c r="AG897" s="6"/>
      <c r="AH897" s="6"/>
      <c r="AI897" s="6"/>
      <c r="AJ897" s="6"/>
      <c r="AK897" s="6"/>
      <c r="AL897" s="6"/>
      <c r="AM897" s="6"/>
      <c r="AN897" s="6"/>
    </row>
    <row r="898" spans="1:40" ht="18.75" customHeight="1" x14ac:dyDescent="0.1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c r="AA898" s="6"/>
      <c r="AB898" s="6"/>
      <c r="AC898" s="6"/>
      <c r="AD898" s="6"/>
      <c r="AE898" s="6"/>
      <c r="AF898" s="6"/>
      <c r="AG898" s="6"/>
      <c r="AH898" s="6"/>
      <c r="AI898" s="6"/>
      <c r="AJ898" s="6"/>
      <c r="AK898" s="6"/>
      <c r="AL898" s="6"/>
      <c r="AM898" s="6"/>
      <c r="AN898" s="6"/>
    </row>
    <row r="899" spans="1:40" ht="18.75" customHeight="1" x14ac:dyDescent="0.1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c r="AA899" s="6"/>
      <c r="AB899" s="6"/>
      <c r="AC899" s="6"/>
      <c r="AD899" s="6"/>
      <c r="AE899" s="6"/>
      <c r="AF899" s="6"/>
      <c r="AG899" s="6"/>
      <c r="AH899" s="6"/>
      <c r="AI899" s="6"/>
      <c r="AJ899" s="6"/>
      <c r="AK899" s="6"/>
      <c r="AL899" s="6"/>
      <c r="AM899" s="6"/>
      <c r="AN899" s="6"/>
    </row>
    <row r="900" spans="1:40" ht="18.75" customHeight="1" x14ac:dyDescent="0.1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c r="AA900" s="6"/>
      <c r="AB900" s="6"/>
      <c r="AC900" s="6"/>
      <c r="AD900" s="6"/>
      <c r="AE900" s="6"/>
      <c r="AF900" s="6"/>
      <c r="AG900" s="6"/>
      <c r="AH900" s="6"/>
      <c r="AI900" s="6"/>
      <c r="AJ900" s="6"/>
      <c r="AK900" s="6"/>
      <c r="AL900" s="6"/>
      <c r="AM900" s="6"/>
      <c r="AN900" s="6"/>
    </row>
    <row r="901" spans="1:40" ht="18.75" customHeight="1" x14ac:dyDescent="0.1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c r="AA901" s="6"/>
      <c r="AB901" s="6"/>
      <c r="AC901" s="6"/>
      <c r="AD901" s="6"/>
      <c r="AE901" s="6"/>
      <c r="AF901" s="6"/>
      <c r="AG901" s="6"/>
      <c r="AH901" s="6"/>
      <c r="AI901" s="6"/>
      <c r="AJ901" s="6"/>
      <c r="AK901" s="6"/>
      <c r="AL901" s="6"/>
      <c r="AM901" s="6"/>
      <c r="AN901" s="6"/>
    </row>
    <row r="902" spans="1:40" ht="18.75" customHeight="1" x14ac:dyDescent="0.1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c r="AA902" s="6"/>
      <c r="AB902" s="6"/>
      <c r="AC902" s="6"/>
      <c r="AD902" s="6"/>
      <c r="AE902" s="6"/>
      <c r="AF902" s="6"/>
      <c r="AG902" s="6"/>
      <c r="AH902" s="6"/>
      <c r="AI902" s="6"/>
      <c r="AJ902" s="6"/>
      <c r="AK902" s="6"/>
      <c r="AL902" s="6"/>
      <c r="AM902" s="6"/>
      <c r="AN902" s="6"/>
    </row>
    <row r="903" spans="1:40" ht="18.75" customHeight="1" x14ac:dyDescent="0.1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c r="AA903" s="6"/>
      <c r="AB903" s="6"/>
      <c r="AC903" s="6"/>
      <c r="AD903" s="6"/>
      <c r="AE903" s="6"/>
      <c r="AF903" s="6"/>
      <c r="AG903" s="6"/>
      <c r="AH903" s="6"/>
      <c r="AI903" s="6"/>
      <c r="AJ903" s="6"/>
      <c r="AK903" s="6"/>
      <c r="AL903" s="6"/>
      <c r="AM903" s="6"/>
      <c r="AN903" s="6"/>
    </row>
    <row r="904" spans="1:40" ht="18.75" customHeight="1" x14ac:dyDescent="0.1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c r="AA904" s="6"/>
      <c r="AB904" s="6"/>
      <c r="AC904" s="6"/>
      <c r="AD904" s="6"/>
      <c r="AE904" s="6"/>
      <c r="AF904" s="6"/>
      <c r="AG904" s="6"/>
      <c r="AH904" s="6"/>
      <c r="AI904" s="6"/>
      <c r="AJ904" s="6"/>
      <c r="AK904" s="6"/>
      <c r="AL904" s="6"/>
      <c r="AM904" s="6"/>
      <c r="AN904" s="6"/>
    </row>
    <row r="905" spans="1:40" ht="18.75" customHeight="1" x14ac:dyDescent="0.1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c r="AA905" s="6"/>
      <c r="AB905" s="6"/>
      <c r="AC905" s="6"/>
      <c r="AD905" s="6"/>
      <c r="AE905" s="6"/>
      <c r="AF905" s="6"/>
      <c r="AG905" s="6"/>
      <c r="AH905" s="6"/>
      <c r="AI905" s="6"/>
      <c r="AJ905" s="6"/>
      <c r="AK905" s="6"/>
      <c r="AL905" s="6"/>
      <c r="AM905" s="6"/>
      <c r="AN905" s="6"/>
    </row>
    <row r="906" spans="1:40" ht="18.75" customHeight="1" x14ac:dyDescent="0.1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c r="AA906" s="6"/>
      <c r="AB906" s="6"/>
      <c r="AC906" s="6"/>
      <c r="AD906" s="6"/>
      <c r="AE906" s="6"/>
      <c r="AF906" s="6"/>
      <c r="AG906" s="6"/>
      <c r="AH906" s="6"/>
      <c r="AI906" s="6"/>
      <c r="AJ906" s="6"/>
      <c r="AK906" s="6"/>
      <c r="AL906" s="6"/>
      <c r="AM906" s="6"/>
      <c r="AN906" s="6"/>
    </row>
    <row r="907" spans="1:40" ht="18.75" customHeight="1" x14ac:dyDescent="0.1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c r="AA907" s="6"/>
      <c r="AB907" s="6"/>
      <c r="AC907" s="6"/>
      <c r="AD907" s="6"/>
      <c r="AE907" s="6"/>
      <c r="AF907" s="6"/>
      <c r="AG907" s="6"/>
      <c r="AH907" s="6"/>
      <c r="AI907" s="6"/>
      <c r="AJ907" s="6"/>
      <c r="AK907" s="6"/>
      <c r="AL907" s="6"/>
      <c r="AM907" s="6"/>
      <c r="AN907" s="6"/>
    </row>
    <row r="908" spans="1:40" ht="18.75" customHeight="1" x14ac:dyDescent="0.1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c r="AA908" s="6"/>
      <c r="AB908" s="6"/>
      <c r="AC908" s="6"/>
      <c r="AD908" s="6"/>
      <c r="AE908" s="6"/>
      <c r="AF908" s="6"/>
      <c r="AG908" s="6"/>
      <c r="AH908" s="6"/>
      <c r="AI908" s="6"/>
      <c r="AJ908" s="6"/>
      <c r="AK908" s="6"/>
      <c r="AL908" s="6"/>
      <c r="AM908" s="6"/>
      <c r="AN908" s="6"/>
    </row>
    <row r="909" spans="1:40" ht="18.75" customHeight="1" x14ac:dyDescent="0.1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c r="AA909" s="6"/>
      <c r="AB909" s="6"/>
      <c r="AC909" s="6"/>
      <c r="AD909" s="6"/>
      <c r="AE909" s="6"/>
      <c r="AF909" s="6"/>
      <c r="AG909" s="6"/>
      <c r="AH909" s="6"/>
      <c r="AI909" s="6"/>
      <c r="AJ909" s="6"/>
      <c r="AK909" s="6"/>
      <c r="AL909" s="6"/>
      <c r="AM909" s="6"/>
      <c r="AN909" s="6"/>
    </row>
    <row r="910" spans="1:40" ht="18.75" customHeight="1" x14ac:dyDescent="0.1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c r="AA910" s="6"/>
      <c r="AB910" s="6"/>
      <c r="AC910" s="6"/>
      <c r="AD910" s="6"/>
      <c r="AE910" s="6"/>
      <c r="AF910" s="6"/>
      <c r="AG910" s="6"/>
      <c r="AH910" s="6"/>
      <c r="AI910" s="6"/>
      <c r="AJ910" s="6"/>
      <c r="AK910" s="6"/>
      <c r="AL910" s="6"/>
      <c r="AM910" s="6"/>
      <c r="AN910" s="6"/>
    </row>
    <row r="911" spans="1:40" ht="18.75" customHeight="1" x14ac:dyDescent="0.1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c r="AA911" s="6"/>
      <c r="AB911" s="6"/>
      <c r="AC911" s="6"/>
      <c r="AD911" s="6"/>
      <c r="AE911" s="6"/>
      <c r="AF911" s="6"/>
      <c r="AG911" s="6"/>
      <c r="AH911" s="6"/>
      <c r="AI911" s="6"/>
      <c r="AJ911" s="6"/>
      <c r="AK911" s="6"/>
      <c r="AL911" s="6"/>
      <c r="AM911" s="6"/>
      <c r="AN911" s="6"/>
    </row>
    <row r="912" spans="1:40" ht="18.75" customHeight="1" x14ac:dyDescent="0.1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c r="AA912" s="6"/>
      <c r="AB912" s="6"/>
      <c r="AC912" s="6"/>
      <c r="AD912" s="6"/>
      <c r="AE912" s="6"/>
      <c r="AF912" s="6"/>
      <c r="AG912" s="6"/>
      <c r="AH912" s="6"/>
      <c r="AI912" s="6"/>
      <c r="AJ912" s="6"/>
      <c r="AK912" s="6"/>
      <c r="AL912" s="6"/>
      <c r="AM912" s="6"/>
      <c r="AN912" s="6"/>
    </row>
    <row r="913" spans="1:40" ht="18.75" customHeight="1" x14ac:dyDescent="0.1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c r="AA913" s="6"/>
      <c r="AB913" s="6"/>
      <c r="AC913" s="6"/>
      <c r="AD913" s="6"/>
      <c r="AE913" s="6"/>
      <c r="AF913" s="6"/>
      <c r="AG913" s="6"/>
      <c r="AH913" s="6"/>
      <c r="AI913" s="6"/>
      <c r="AJ913" s="6"/>
      <c r="AK913" s="6"/>
      <c r="AL913" s="6"/>
      <c r="AM913" s="6"/>
      <c r="AN913" s="6"/>
    </row>
    <row r="914" spans="1:40" ht="18.75" customHeight="1" x14ac:dyDescent="0.1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c r="AA914" s="6"/>
      <c r="AB914" s="6"/>
      <c r="AC914" s="6"/>
      <c r="AD914" s="6"/>
      <c r="AE914" s="6"/>
      <c r="AF914" s="6"/>
      <c r="AG914" s="6"/>
      <c r="AH914" s="6"/>
      <c r="AI914" s="6"/>
      <c r="AJ914" s="6"/>
      <c r="AK914" s="6"/>
      <c r="AL914" s="6"/>
      <c r="AM914" s="6"/>
      <c r="AN914" s="6"/>
    </row>
    <row r="915" spans="1:40" ht="18.75" customHeight="1" x14ac:dyDescent="0.1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c r="AA915" s="6"/>
      <c r="AB915" s="6"/>
      <c r="AC915" s="6"/>
      <c r="AD915" s="6"/>
      <c r="AE915" s="6"/>
      <c r="AF915" s="6"/>
      <c r="AG915" s="6"/>
      <c r="AH915" s="6"/>
      <c r="AI915" s="6"/>
      <c r="AJ915" s="6"/>
      <c r="AK915" s="6"/>
      <c r="AL915" s="6"/>
      <c r="AM915" s="6"/>
      <c r="AN915" s="6"/>
    </row>
    <row r="916" spans="1:40" ht="18.75" customHeight="1" x14ac:dyDescent="0.1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c r="AA916" s="6"/>
      <c r="AB916" s="6"/>
      <c r="AC916" s="6"/>
      <c r="AD916" s="6"/>
      <c r="AE916" s="6"/>
      <c r="AF916" s="6"/>
      <c r="AG916" s="6"/>
      <c r="AH916" s="6"/>
      <c r="AI916" s="6"/>
      <c r="AJ916" s="6"/>
      <c r="AK916" s="6"/>
      <c r="AL916" s="6"/>
      <c r="AM916" s="6"/>
      <c r="AN916" s="6"/>
    </row>
    <row r="917" spans="1:40" ht="18.75" customHeight="1" x14ac:dyDescent="0.1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c r="AA917" s="6"/>
      <c r="AB917" s="6"/>
      <c r="AC917" s="6"/>
      <c r="AD917" s="6"/>
      <c r="AE917" s="6"/>
      <c r="AF917" s="6"/>
      <c r="AG917" s="6"/>
      <c r="AH917" s="6"/>
      <c r="AI917" s="6"/>
      <c r="AJ917" s="6"/>
      <c r="AK917" s="6"/>
      <c r="AL917" s="6"/>
      <c r="AM917" s="6"/>
      <c r="AN917" s="6"/>
    </row>
    <row r="918" spans="1:40" ht="18.75" customHeight="1" x14ac:dyDescent="0.1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c r="AA918" s="6"/>
      <c r="AB918" s="6"/>
      <c r="AC918" s="6"/>
      <c r="AD918" s="6"/>
      <c r="AE918" s="6"/>
      <c r="AF918" s="6"/>
      <c r="AG918" s="6"/>
      <c r="AH918" s="6"/>
      <c r="AI918" s="6"/>
      <c r="AJ918" s="6"/>
      <c r="AK918" s="6"/>
      <c r="AL918" s="6"/>
      <c r="AM918" s="6"/>
      <c r="AN918" s="6"/>
    </row>
    <row r="919" spans="1:40" ht="18.75" customHeight="1" x14ac:dyDescent="0.1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c r="AA919" s="6"/>
      <c r="AB919" s="6"/>
      <c r="AC919" s="6"/>
      <c r="AD919" s="6"/>
      <c r="AE919" s="6"/>
      <c r="AF919" s="6"/>
      <c r="AG919" s="6"/>
      <c r="AH919" s="6"/>
      <c r="AI919" s="6"/>
      <c r="AJ919" s="6"/>
      <c r="AK919" s="6"/>
      <c r="AL919" s="6"/>
      <c r="AM919" s="6"/>
      <c r="AN919" s="6"/>
    </row>
    <row r="920" spans="1:40" ht="18.75" customHeight="1" x14ac:dyDescent="0.1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c r="AA920" s="6"/>
      <c r="AB920" s="6"/>
      <c r="AC920" s="6"/>
      <c r="AD920" s="6"/>
      <c r="AE920" s="6"/>
      <c r="AF920" s="6"/>
      <c r="AG920" s="6"/>
      <c r="AH920" s="6"/>
      <c r="AI920" s="6"/>
      <c r="AJ920" s="6"/>
      <c r="AK920" s="6"/>
      <c r="AL920" s="6"/>
      <c r="AM920" s="6"/>
      <c r="AN920" s="6"/>
    </row>
    <row r="921" spans="1:40" ht="18.75" customHeight="1" x14ac:dyDescent="0.1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c r="AA921" s="6"/>
      <c r="AB921" s="6"/>
      <c r="AC921" s="6"/>
      <c r="AD921" s="6"/>
      <c r="AE921" s="6"/>
      <c r="AF921" s="6"/>
      <c r="AG921" s="6"/>
      <c r="AH921" s="6"/>
      <c r="AI921" s="6"/>
      <c r="AJ921" s="6"/>
      <c r="AK921" s="6"/>
      <c r="AL921" s="6"/>
      <c r="AM921" s="6"/>
      <c r="AN921" s="6"/>
    </row>
    <row r="922" spans="1:40" ht="18.75" customHeight="1" x14ac:dyDescent="0.1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c r="AA922" s="6"/>
      <c r="AB922" s="6"/>
      <c r="AC922" s="6"/>
      <c r="AD922" s="6"/>
      <c r="AE922" s="6"/>
      <c r="AF922" s="6"/>
      <c r="AG922" s="6"/>
      <c r="AH922" s="6"/>
      <c r="AI922" s="6"/>
      <c r="AJ922" s="6"/>
      <c r="AK922" s="6"/>
      <c r="AL922" s="6"/>
      <c r="AM922" s="6"/>
      <c r="AN922" s="6"/>
    </row>
    <row r="923" spans="1:40" ht="18.75" customHeight="1" x14ac:dyDescent="0.1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c r="AA923" s="6"/>
      <c r="AB923" s="6"/>
      <c r="AC923" s="6"/>
      <c r="AD923" s="6"/>
      <c r="AE923" s="6"/>
      <c r="AF923" s="6"/>
      <c r="AG923" s="6"/>
      <c r="AH923" s="6"/>
      <c r="AI923" s="6"/>
      <c r="AJ923" s="6"/>
      <c r="AK923" s="6"/>
      <c r="AL923" s="6"/>
      <c r="AM923" s="6"/>
      <c r="AN923" s="6"/>
    </row>
    <row r="924" spans="1:40" ht="18.75" customHeight="1" x14ac:dyDescent="0.1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c r="AA924" s="6"/>
      <c r="AB924" s="6"/>
      <c r="AC924" s="6"/>
      <c r="AD924" s="6"/>
      <c r="AE924" s="6"/>
      <c r="AF924" s="6"/>
      <c r="AG924" s="6"/>
      <c r="AH924" s="6"/>
      <c r="AI924" s="6"/>
      <c r="AJ924" s="6"/>
      <c r="AK924" s="6"/>
      <c r="AL924" s="6"/>
      <c r="AM924" s="6"/>
      <c r="AN924" s="6"/>
    </row>
    <row r="925" spans="1:40" ht="18.75" customHeight="1" x14ac:dyDescent="0.1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c r="AA925" s="6"/>
      <c r="AB925" s="6"/>
      <c r="AC925" s="6"/>
      <c r="AD925" s="6"/>
      <c r="AE925" s="6"/>
      <c r="AF925" s="6"/>
      <c r="AG925" s="6"/>
      <c r="AH925" s="6"/>
      <c r="AI925" s="6"/>
      <c r="AJ925" s="6"/>
      <c r="AK925" s="6"/>
      <c r="AL925" s="6"/>
      <c r="AM925" s="6"/>
      <c r="AN925" s="6"/>
    </row>
    <row r="926" spans="1:40" ht="18.75" customHeight="1" x14ac:dyDescent="0.1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c r="AA926" s="6"/>
      <c r="AB926" s="6"/>
      <c r="AC926" s="6"/>
      <c r="AD926" s="6"/>
      <c r="AE926" s="6"/>
      <c r="AF926" s="6"/>
      <c r="AG926" s="6"/>
      <c r="AH926" s="6"/>
      <c r="AI926" s="6"/>
      <c r="AJ926" s="6"/>
      <c r="AK926" s="6"/>
      <c r="AL926" s="6"/>
      <c r="AM926" s="6"/>
      <c r="AN926" s="6"/>
    </row>
    <row r="927" spans="1:40" ht="18.75" customHeight="1" x14ac:dyDescent="0.1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c r="AA927" s="6"/>
      <c r="AB927" s="6"/>
      <c r="AC927" s="6"/>
      <c r="AD927" s="6"/>
      <c r="AE927" s="6"/>
      <c r="AF927" s="6"/>
      <c r="AG927" s="6"/>
      <c r="AH927" s="6"/>
      <c r="AI927" s="6"/>
      <c r="AJ927" s="6"/>
      <c r="AK927" s="6"/>
      <c r="AL927" s="6"/>
      <c r="AM927" s="6"/>
      <c r="AN927" s="6"/>
    </row>
    <row r="928" spans="1:40" ht="18.75" customHeight="1" x14ac:dyDescent="0.1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c r="AA928" s="6"/>
      <c r="AB928" s="6"/>
      <c r="AC928" s="6"/>
      <c r="AD928" s="6"/>
      <c r="AE928" s="6"/>
      <c r="AF928" s="6"/>
      <c r="AG928" s="6"/>
      <c r="AH928" s="6"/>
      <c r="AI928" s="6"/>
      <c r="AJ928" s="6"/>
      <c r="AK928" s="6"/>
      <c r="AL928" s="6"/>
      <c r="AM928" s="6"/>
      <c r="AN928" s="6"/>
    </row>
    <row r="929" spans="1:40" ht="18.75" customHeight="1" x14ac:dyDescent="0.1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c r="AA929" s="6"/>
      <c r="AB929" s="6"/>
      <c r="AC929" s="6"/>
      <c r="AD929" s="6"/>
      <c r="AE929" s="6"/>
      <c r="AF929" s="6"/>
      <c r="AG929" s="6"/>
      <c r="AH929" s="6"/>
      <c r="AI929" s="6"/>
      <c r="AJ929" s="6"/>
      <c r="AK929" s="6"/>
      <c r="AL929" s="6"/>
      <c r="AM929" s="6"/>
      <c r="AN929" s="6"/>
    </row>
    <row r="930" spans="1:40" ht="18.75" customHeight="1" x14ac:dyDescent="0.1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c r="AA930" s="6"/>
      <c r="AB930" s="6"/>
      <c r="AC930" s="6"/>
      <c r="AD930" s="6"/>
      <c r="AE930" s="6"/>
      <c r="AF930" s="6"/>
      <c r="AG930" s="6"/>
      <c r="AH930" s="6"/>
      <c r="AI930" s="6"/>
      <c r="AJ930" s="6"/>
      <c r="AK930" s="6"/>
      <c r="AL930" s="6"/>
      <c r="AM930" s="6"/>
      <c r="AN930" s="6"/>
    </row>
    <row r="931" spans="1:40" ht="18.75" customHeight="1" x14ac:dyDescent="0.1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c r="AA931" s="6"/>
      <c r="AB931" s="6"/>
      <c r="AC931" s="6"/>
      <c r="AD931" s="6"/>
      <c r="AE931" s="6"/>
      <c r="AF931" s="6"/>
      <c r="AG931" s="6"/>
      <c r="AH931" s="6"/>
      <c r="AI931" s="6"/>
      <c r="AJ931" s="6"/>
      <c r="AK931" s="6"/>
      <c r="AL931" s="6"/>
      <c r="AM931" s="6"/>
      <c r="AN931" s="6"/>
    </row>
    <row r="932" spans="1:40" ht="18.75" customHeight="1" x14ac:dyDescent="0.1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c r="AA932" s="6"/>
      <c r="AB932" s="6"/>
      <c r="AC932" s="6"/>
      <c r="AD932" s="6"/>
      <c r="AE932" s="6"/>
      <c r="AF932" s="6"/>
      <c r="AG932" s="6"/>
      <c r="AH932" s="6"/>
      <c r="AI932" s="6"/>
      <c r="AJ932" s="6"/>
      <c r="AK932" s="6"/>
      <c r="AL932" s="6"/>
      <c r="AM932" s="6"/>
      <c r="AN932" s="6"/>
    </row>
    <row r="933" spans="1:40" ht="18.75" customHeight="1" x14ac:dyDescent="0.1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c r="AA933" s="6"/>
      <c r="AB933" s="6"/>
      <c r="AC933" s="6"/>
      <c r="AD933" s="6"/>
      <c r="AE933" s="6"/>
      <c r="AF933" s="6"/>
      <c r="AG933" s="6"/>
      <c r="AH933" s="6"/>
      <c r="AI933" s="6"/>
      <c r="AJ933" s="6"/>
      <c r="AK933" s="6"/>
      <c r="AL933" s="6"/>
      <c r="AM933" s="6"/>
      <c r="AN933" s="6"/>
    </row>
    <row r="934" spans="1:40" ht="18.75" customHeight="1" x14ac:dyDescent="0.1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c r="AA934" s="6"/>
      <c r="AB934" s="6"/>
      <c r="AC934" s="6"/>
      <c r="AD934" s="6"/>
      <c r="AE934" s="6"/>
      <c r="AF934" s="6"/>
      <c r="AG934" s="6"/>
      <c r="AH934" s="6"/>
      <c r="AI934" s="6"/>
      <c r="AJ934" s="6"/>
      <c r="AK934" s="6"/>
      <c r="AL934" s="6"/>
      <c r="AM934" s="6"/>
      <c r="AN934" s="6"/>
    </row>
    <row r="935" spans="1:40" ht="18.75" customHeight="1" x14ac:dyDescent="0.1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c r="AA935" s="6"/>
      <c r="AB935" s="6"/>
      <c r="AC935" s="6"/>
      <c r="AD935" s="6"/>
      <c r="AE935" s="6"/>
      <c r="AF935" s="6"/>
      <c r="AG935" s="6"/>
      <c r="AH935" s="6"/>
      <c r="AI935" s="6"/>
      <c r="AJ935" s="6"/>
      <c r="AK935" s="6"/>
      <c r="AL935" s="6"/>
      <c r="AM935" s="6"/>
      <c r="AN935" s="6"/>
    </row>
    <row r="936" spans="1:40" ht="18.75" customHeight="1" x14ac:dyDescent="0.1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c r="AA936" s="6"/>
      <c r="AB936" s="6"/>
      <c r="AC936" s="6"/>
      <c r="AD936" s="6"/>
      <c r="AE936" s="6"/>
      <c r="AF936" s="6"/>
      <c r="AG936" s="6"/>
      <c r="AH936" s="6"/>
      <c r="AI936" s="6"/>
      <c r="AJ936" s="6"/>
      <c r="AK936" s="6"/>
      <c r="AL936" s="6"/>
      <c r="AM936" s="6"/>
      <c r="AN936" s="6"/>
    </row>
    <row r="937" spans="1:40" ht="18.75" customHeight="1" x14ac:dyDescent="0.1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c r="AA937" s="6"/>
      <c r="AB937" s="6"/>
      <c r="AC937" s="6"/>
      <c r="AD937" s="6"/>
      <c r="AE937" s="6"/>
      <c r="AF937" s="6"/>
      <c r="AG937" s="6"/>
      <c r="AH937" s="6"/>
      <c r="AI937" s="6"/>
      <c r="AJ937" s="6"/>
      <c r="AK937" s="6"/>
      <c r="AL937" s="6"/>
      <c r="AM937" s="6"/>
      <c r="AN937" s="6"/>
    </row>
    <row r="938" spans="1:40" ht="18.75" customHeight="1" x14ac:dyDescent="0.1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c r="AA938" s="6"/>
      <c r="AB938" s="6"/>
      <c r="AC938" s="6"/>
      <c r="AD938" s="6"/>
      <c r="AE938" s="6"/>
      <c r="AF938" s="6"/>
      <c r="AG938" s="6"/>
      <c r="AH938" s="6"/>
      <c r="AI938" s="6"/>
      <c r="AJ938" s="6"/>
      <c r="AK938" s="6"/>
      <c r="AL938" s="6"/>
      <c r="AM938" s="6"/>
      <c r="AN938" s="6"/>
    </row>
    <row r="939" spans="1:40" ht="18.75" customHeight="1" x14ac:dyDescent="0.1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c r="AA939" s="6"/>
      <c r="AB939" s="6"/>
      <c r="AC939" s="6"/>
      <c r="AD939" s="6"/>
      <c r="AE939" s="6"/>
      <c r="AF939" s="6"/>
      <c r="AG939" s="6"/>
      <c r="AH939" s="6"/>
      <c r="AI939" s="6"/>
      <c r="AJ939" s="6"/>
      <c r="AK939" s="6"/>
      <c r="AL939" s="6"/>
      <c r="AM939" s="6"/>
      <c r="AN939" s="6"/>
    </row>
    <row r="940" spans="1:40" ht="18.75" customHeight="1" x14ac:dyDescent="0.1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c r="AA940" s="6"/>
      <c r="AB940" s="6"/>
      <c r="AC940" s="6"/>
      <c r="AD940" s="6"/>
      <c r="AE940" s="6"/>
      <c r="AF940" s="6"/>
      <c r="AG940" s="6"/>
      <c r="AH940" s="6"/>
      <c r="AI940" s="6"/>
      <c r="AJ940" s="6"/>
      <c r="AK940" s="6"/>
      <c r="AL940" s="6"/>
      <c r="AM940" s="6"/>
      <c r="AN940" s="6"/>
    </row>
    <row r="941" spans="1:40" ht="18.75" customHeight="1" x14ac:dyDescent="0.1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c r="AA941" s="6"/>
      <c r="AB941" s="6"/>
      <c r="AC941" s="6"/>
      <c r="AD941" s="6"/>
      <c r="AE941" s="6"/>
      <c r="AF941" s="6"/>
      <c r="AG941" s="6"/>
      <c r="AH941" s="6"/>
      <c r="AI941" s="6"/>
      <c r="AJ941" s="6"/>
      <c r="AK941" s="6"/>
      <c r="AL941" s="6"/>
      <c r="AM941" s="6"/>
      <c r="AN941" s="6"/>
    </row>
    <row r="942" spans="1:40" ht="18.75" customHeight="1" x14ac:dyDescent="0.1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c r="AA942" s="6"/>
      <c r="AB942" s="6"/>
      <c r="AC942" s="6"/>
      <c r="AD942" s="6"/>
      <c r="AE942" s="6"/>
      <c r="AF942" s="6"/>
      <c r="AG942" s="6"/>
      <c r="AH942" s="6"/>
      <c r="AI942" s="6"/>
      <c r="AJ942" s="6"/>
      <c r="AK942" s="6"/>
      <c r="AL942" s="6"/>
      <c r="AM942" s="6"/>
      <c r="AN942" s="6"/>
    </row>
    <row r="943" spans="1:40" ht="18.75" customHeight="1" x14ac:dyDescent="0.1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c r="AA943" s="6"/>
      <c r="AB943" s="6"/>
      <c r="AC943" s="6"/>
      <c r="AD943" s="6"/>
      <c r="AE943" s="6"/>
      <c r="AF943" s="6"/>
      <c r="AG943" s="6"/>
      <c r="AH943" s="6"/>
      <c r="AI943" s="6"/>
      <c r="AJ943" s="6"/>
      <c r="AK943" s="6"/>
      <c r="AL943" s="6"/>
      <c r="AM943" s="6"/>
      <c r="AN943" s="6"/>
    </row>
    <row r="944" spans="1:40" ht="18.75" customHeight="1" x14ac:dyDescent="0.1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c r="AA944" s="6"/>
      <c r="AB944" s="6"/>
      <c r="AC944" s="6"/>
      <c r="AD944" s="6"/>
      <c r="AE944" s="6"/>
      <c r="AF944" s="6"/>
      <c r="AG944" s="6"/>
      <c r="AH944" s="6"/>
      <c r="AI944" s="6"/>
      <c r="AJ944" s="6"/>
      <c r="AK944" s="6"/>
      <c r="AL944" s="6"/>
      <c r="AM944" s="6"/>
      <c r="AN944" s="6"/>
    </row>
    <row r="945" spans="1:40" ht="18.75" customHeight="1" x14ac:dyDescent="0.1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c r="AA945" s="6"/>
      <c r="AB945" s="6"/>
      <c r="AC945" s="6"/>
      <c r="AD945" s="6"/>
      <c r="AE945" s="6"/>
      <c r="AF945" s="6"/>
      <c r="AG945" s="6"/>
      <c r="AH945" s="6"/>
      <c r="AI945" s="6"/>
      <c r="AJ945" s="6"/>
      <c r="AK945" s="6"/>
      <c r="AL945" s="6"/>
      <c r="AM945" s="6"/>
      <c r="AN945" s="6"/>
    </row>
    <row r="946" spans="1:40" ht="18.75" customHeight="1" x14ac:dyDescent="0.1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c r="AA946" s="6"/>
      <c r="AB946" s="6"/>
      <c r="AC946" s="6"/>
      <c r="AD946" s="6"/>
      <c r="AE946" s="6"/>
      <c r="AF946" s="6"/>
      <c r="AG946" s="6"/>
      <c r="AH946" s="6"/>
      <c r="AI946" s="6"/>
      <c r="AJ946" s="6"/>
      <c r="AK946" s="6"/>
      <c r="AL946" s="6"/>
      <c r="AM946" s="6"/>
      <c r="AN946" s="6"/>
    </row>
    <row r="947" spans="1:40" ht="18.75" customHeight="1" x14ac:dyDescent="0.1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c r="AA947" s="6"/>
      <c r="AB947" s="6"/>
      <c r="AC947" s="6"/>
      <c r="AD947" s="6"/>
      <c r="AE947" s="6"/>
      <c r="AF947" s="6"/>
      <c r="AG947" s="6"/>
      <c r="AH947" s="6"/>
      <c r="AI947" s="6"/>
      <c r="AJ947" s="6"/>
      <c r="AK947" s="6"/>
      <c r="AL947" s="6"/>
      <c r="AM947" s="6"/>
      <c r="AN947" s="6"/>
    </row>
    <row r="948" spans="1:40" ht="18.75" customHeight="1" x14ac:dyDescent="0.1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c r="AA948" s="6"/>
      <c r="AB948" s="6"/>
      <c r="AC948" s="6"/>
      <c r="AD948" s="6"/>
      <c r="AE948" s="6"/>
      <c r="AF948" s="6"/>
      <c r="AG948" s="6"/>
      <c r="AH948" s="6"/>
      <c r="AI948" s="6"/>
      <c r="AJ948" s="6"/>
      <c r="AK948" s="6"/>
      <c r="AL948" s="6"/>
      <c r="AM948" s="6"/>
      <c r="AN948" s="6"/>
    </row>
    <row r="949" spans="1:40" ht="18.75" customHeight="1" x14ac:dyDescent="0.1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c r="AA949" s="6"/>
      <c r="AB949" s="6"/>
      <c r="AC949" s="6"/>
      <c r="AD949" s="6"/>
      <c r="AE949" s="6"/>
      <c r="AF949" s="6"/>
      <c r="AG949" s="6"/>
      <c r="AH949" s="6"/>
      <c r="AI949" s="6"/>
      <c r="AJ949" s="6"/>
      <c r="AK949" s="6"/>
      <c r="AL949" s="6"/>
      <c r="AM949" s="6"/>
      <c r="AN949" s="6"/>
    </row>
    <row r="950" spans="1:40" ht="18.75" customHeight="1" x14ac:dyDescent="0.1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c r="AA950" s="6"/>
      <c r="AB950" s="6"/>
      <c r="AC950" s="6"/>
      <c r="AD950" s="6"/>
      <c r="AE950" s="6"/>
      <c r="AF950" s="6"/>
      <c r="AG950" s="6"/>
      <c r="AH950" s="6"/>
      <c r="AI950" s="6"/>
      <c r="AJ950" s="6"/>
      <c r="AK950" s="6"/>
      <c r="AL950" s="6"/>
      <c r="AM950" s="6"/>
      <c r="AN950" s="6"/>
    </row>
    <row r="951" spans="1:40" ht="18.75" customHeight="1" x14ac:dyDescent="0.1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c r="AA951" s="6"/>
      <c r="AB951" s="6"/>
      <c r="AC951" s="6"/>
      <c r="AD951" s="6"/>
      <c r="AE951" s="6"/>
      <c r="AF951" s="6"/>
      <c r="AG951" s="6"/>
      <c r="AH951" s="6"/>
      <c r="AI951" s="6"/>
      <c r="AJ951" s="6"/>
      <c r="AK951" s="6"/>
      <c r="AL951" s="6"/>
      <c r="AM951" s="6"/>
      <c r="AN951" s="6"/>
    </row>
    <row r="952" spans="1:40" ht="18.75" customHeight="1" x14ac:dyDescent="0.1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c r="AA952" s="6"/>
      <c r="AB952" s="6"/>
      <c r="AC952" s="6"/>
      <c r="AD952" s="6"/>
      <c r="AE952" s="6"/>
      <c r="AF952" s="6"/>
      <c r="AG952" s="6"/>
      <c r="AH952" s="6"/>
      <c r="AI952" s="6"/>
      <c r="AJ952" s="6"/>
      <c r="AK952" s="6"/>
      <c r="AL952" s="6"/>
      <c r="AM952" s="6"/>
      <c r="AN952" s="6"/>
    </row>
    <row r="953" spans="1:40" ht="18.75" customHeight="1" x14ac:dyDescent="0.1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c r="AA953" s="6"/>
      <c r="AB953" s="6"/>
      <c r="AC953" s="6"/>
      <c r="AD953" s="6"/>
      <c r="AE953" s="6"/>
      <c r="AF953" s="6"/>
      <c r="AG953" s="6"/>
      <c r="AH953" s="6"/>
      <c r="AI953" s="6"/>
      <c r="AJ953" s="6"/>
      <c r="AK953" s="6"/>
      <c r="AL953" s="6"/>
      <c r="AM953" s="6"/>
      <c r="AN953" s="6"/>
    </row>
    <row r="954" spans="1:40" ht="18.75" customHeight="1" x14ac:dyDescent="0.1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c r="AA954" s="6"/>
      <c r="AB954" s="6"/>
      <c r="AC954" s="6"/>
      <c r="AD954" s="6"/>
      <c r="AE954" s="6"/>
      <c r="AF954" s="6"/>
      <c r="AG954" s="6"/>
      <c r="AH954" s="6"/>
      <c r="AI954" s="6"/>
      <c r="AJ954" s="6"/>
      <c r="AK954" s="6"/>
      <c r="AL954" s="6"/>
      <c r="AM954" s="6"/>
      <c r="AN954" s="6"/>
    </row>
    <row r="955" spans="1:40" ht="18.75" customHeight="1" x14ac:dyDescent="0.1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c r="AA955" s="6"/>
      <c r="AB955" s="6"/>
      <c r="AC955" s="6"/>
      <c r="AD955" s="6"/>
      <c r="AE955" s="6"/>
      <c r="AF955" s="6"/>
      <c r="AG955" s="6"/>
      <c r="AH955" s="6"/>
      <c r="AI955" s="6"/>
      <c r="AJ955" s="6"/>
      <c r="AK955" s="6"/>
      <c r="AL955" s="6"/>
      <c r="AM955" s="6"/>
      <c r="AN955" s="6"/>
    </row>
    <row r="956" spans="1:40" ht="18.75" customHeight="1" x14ac:dyDescent="0.1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c r="AA956" s="6"/>
      <c r="AB956" s="6"/>
      <c r="AC956" s="6"/>
      <c r="AD956" s="6"/>
      <c r="AE956" s="6"/>
      <c r="AF956" s="6"/>
      <c r="AG956" s="6"/>
      <c r="AH956" s="6"/>
      <c r="AI956" s="6"/>
      <c r="AJ956" s="6"/>
      <c r="AK956" s="6"/>
      <c r="AL956" s="6"/>
      <c r="AM956" s="6"/>
      <c r="AN956" s="6"/>
    </row>
    <row r="957" spans="1:40" ht="18.75" customHeight="1" x14ac:dyDescent="0.1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c r="AA957" s="6"/>
      <c r="AB957" s="6"/>
      <c r="AC957" s="6"/>
      <c r="AD957" s="6"/>
      <c r="AE957" s="6"/>
      <c r="AF957" s="6"/>
      <c r="AG957" s="6"/>
      <c r="AH957" s="6"/>
      <c r="AI957" s="6"/>
      <c r="AJ957" s="6"/>
      <c r="AK957" s="6"/>
      <c r="AL957" s="6"/>
      <c r="AM957" s="6"/>
      <c r="AN957" s="6"/>
    </row>
    <row r="958" spans="1:40" ht="18.75" customHeight="1" x14ac:dyDescent="0.1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c r="AA958" s="6"/>
      <c r="AB958" s="6"/>
      <c r="AC958" s="6"/>
      <c r="AD958" s="6"/>
      <c r="AE958" s="6"/>
      <c r="AF958" s="6"/>
      <c r="AG958" s="6"/>
      <c r="AH958" s="6"/>
      <c r="AI958" s="6"/>
      <c r="AJ958" s="6"/>
      <c r="AK958" s="6"/>
      <c r="AL958" s="6"/>
      <c r="AM958" s="6"/>
      <c r="AN958" s="6"/>
    </row>
    <row r="959" spans="1:40" ht="18.75" customHeight="1" x14ac:dyDescent="0.1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c r="AA959" s="6"/>
      <c r="AB959" s="6"/>
      <c r="AC959" s="6"/>
      <c r="AD959" s="6"/>
      <c r="AE959" s="6"/>
      <c r="AF959" s="6"/>
      <c r="AG959" s="6"/>
      <c r="AH959" s="6"/>
      <c r="AI959" s="6"/>
      <c r="AJ959" s="6"/>
      <c r="AK959" s="6"/>
      <c r="AL959" s="6"/>
      <c r="AM959" s="6"/>
      <c r="AN959" s="6"/>
    </row>
    <row r="960" spans="1:40" ht="18.75" customHeight="1" x14ac:dyDescent="0.1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c r="AA960" s="6"/>
      <c r="AB960" s="6"/>
      <c r="AC960" s="6"/>
      <c r="AD960" s="6"/>
      <c r="AE960" s="6"/>
      <c r="AF960" s="6"/>
      <c r="AG960" s="6"/>
      <c r="AH960" s="6"/>
      <c r="AI960" s="6"/>
      <c r="AJ960" s="6"/>
      <c r="AK960" s="6"/>
      <c r="AL960" s="6"/>
      <c r="AM960" s="6"/>
      <c r="AN960" s="6"/>
    </row>
    <row r="961" spans="1:40" ht="18.75" customHeight="1" x14ac:dyDescent="0.1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c r="AA961" s="6"/>
      <c r="AB961" s="6"/>
      <c r="AC961" s="6"/>
      <c r="AD961" s="6"/>
      <c r="AE961" s="6"/>
      <c r="AF961" s="6"/>
      <c r="AG961" s="6"/>
      <c r="AH961" s="6"/>
      <c r="AI961" s="6"/>
      <c r="AJ961" s="6"/>
      <c r="AK961" s="6"/>
      <c r="AL961" s="6"/>
      <c r="AM961" s="6"/>
      <c r="AN961" s="6"/>
    </row>
    <row r="962" spans="1:40" ht="18.75" customHeight="1" x14ac:dyDescent="0.1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c r="AA962" s="6"/>
      <c r="AB962" s="6"/>
      <c r="AC962" s="6"/>
      <c r="AD962" s="6"/>
      <c r="AE962" s="6"/>
      <c r="AF962" s="6"/>
      <c r="AG962" s="6"/>
      <c r="AH962" s="6"/>
      <c r="AI962" s="6"/>
      <c r="AJ962" s="6"/>
      <c r="AK962" s="6"/>
      <c r="AL962" s="6"/>
      <c r="AM962" s="6"/>
      <c r="AN962" s="6"/>
    </row>
    <row r="963" spans="1:40" ht="18.75" customHeight="1" x14ac:dyDescent="0.1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c r="AA963" s="6"/>
      <c r="AB963" s="6"/>
      <c r="AC963" s="6"/>
      <c r="AD963" s="6"/>
      <c r="AE963" s="6"/>
      <c r="AF963" s="6"/>
      <c r="AG963" s="6"/>
      <c r="AH963" s="6"/>
      <c r="AI963" s="6"/>
      <c r="AJ963" s="6"/>
      <c r="AK963" s="6"/>
      <c r="AL963" s="6"/>
      <c r="AM963" s="6"/>
      <c r="AN963" s="6"/>
    </row>
    <row r="964" spans="1:40" ht="18.75" customHeight="1" x14ac:dyDescent="0.1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c r="AA964" s="6"/>
      <c r="AB964" s="6"/>
      <c r="AC964" s="6"/>
      <c r="AD964" s="6"/>
      <c r="AE964" s="6"/>
      <c r="AF964" s="6"/>
      <c r="AG964" s="6"/>
      <c r="AH964" s="6"/>
      <c r="AI964" s="6"/>
      <c r="AJ964" s="6"/>
      <c r="AK964" s="6"/>
      <c r="AL964" s="6"/>
      <c r="AM964" s="6"/>
      <c r="AN964" s="6"/>
    </row>
    <row r="965" spans="1:40" ht="18.75" customHeight="1" x14ac:dyDescent="0.1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c r="AA965" s="6"/>
      <c r="AB965" s="6"/>
      <c r="AC965" s="6"/>
      <c r="AD965" s="6"/>
      <c r="AE965" s="6"/>
      <c r="AF965" s="6"/>
      <c r="AG965" s="6"/>
      <c r="AH965" s="6"/>
      <c r="AI965" s="6"/>
      <c r="AJ965" s="6"/>
      <c r="AK965" s="6"/>
      <c r="AL965" s="6"/>
      <c r="AM965" s="6"/>
      <c r="AN965" s="6"/>
    </row>
    <row r="966" spans="1:40" ht="18.75" customHeight="1" x14ac:dyDescent="0.1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c r="AA966" s="6"/>
      <c r="AB966" s="6"/>
      <c r="AC966" s="6"/>
      <c r="AD966" s="6"/>
      <c r="AE966" s="6"/>
      <c r="AF966" s="6"/>
      <c r="AG966" s="6"/>
      <c r="AH966" s="6"/>
      <c r="AI966" s="6"/>
      <c r="AJ966" s="6"/>
      <c r="AK966" s="6"/>
      <c r="AL966" s="6"/>
      <c r="AM966" s="6"/>
      <c r="AN966" s="6"/>
    </row>
    <row r="967" spans="1:40" ht="18.75" customHeight="1" x14ac:dyDescent="0.1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c r="AA967" s="6"/>
      <c r="AB967" s="6"/>
      <c r="AC967" s="6"/>
      <c r="AD967" s="6"/>
      <c r="AE967" s="6"/>
      <c r="AF967" s="6"/>
      <c r="AG967" s="6"/>
      <c r="AH967" s="6"/>
      <c r="AI967" s="6"/>
      <c r="AJ967" s="6"/>
      <c r="AK967" s="6"/>
      <c r="AL967" s="6"/>
      <c r="AM967" s="6"/>
      <c r="AN967" s="6"/>
    </row>
    <row r="968" spans="1:40" ht="18.75" customHeight="1" x14ac:dyDescent="0.1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c r="AA968" s="6"/>
      <c r="AB968" s="6"/>
      <c r="AC968" s="6"/>
      <c r="AD968" s="6"/>
      <c r="AE968" s="6"/>
      <c r="AF968" s="6"/>
      <c r="AG968" s="6"/>
      <c r="AH968" s="6"/>
      <c r="AI968" s="6"/>
      <c r="AJ968" s="6"/>
      <c r="AK968" s="6"/>
      <c r="AL968" s="6"/>
      <c r="AM968" s="6"/>
      <c r="AN968" s="6"/>
    </row>
    <row r="969" spans="1:40" ht="18.75" customHeight="1" x14ac:dyDescent="0.1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c r="AA969" s="6"/>
      <c r="AB969" s="6"/>
      <c r="AC969" s="6"/>
      <c r="AD969" s="6"/>
      <c r="AE969" s="6"/>
      <c r="AF969" s="6"/>
      <c r="AG969" s="6"/>
      <c r="AH969" s="6"/>
      <c r="AI969" s="6"/>
      <c r="AJ969" s="6"/>
      <c r="AK969" s="6"/>
      <c r="AL969" s="6"/>
      <c r="AM969" s="6"/>
      <c r="AN969" s="6"/>
    </row>
    <row r="970" spans="1:40" ht="18.75" customHeight="1" x14ac:dyDescent="0.1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c r="AA970" s="6"/>
      <c r="AB970" s="6"/>
      <c r="AC970" s="6"/>
      <c r="AD970" s="6"/>
      <c r="AE970" s="6"/>
      <c r="AF970" s="6"/>
      <c r="AG970" s="6"/>
      <c r="AH970" s="6"/>
      <c r="AI970" s="6"/>
      <c r="AJ970" s="6"/>
      <c r="AK970" s="6"/>
      <c r="AL970" s="6"/>
      <c r="AM970" s="6"/>
      <c r="AN970" s="6"/>
    </row>
    <row r="971" spans="1:40" ht="18.75" customHeight="1" x14ac:dyDescent="0.1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c r="AA971" s="6"/>
      <c r="AB971" s="6"/>
      <c r="AC971" s="6"/>
      <c r="AD971" s="6"/>
      <c r="AE971" s="6"/>
      <c r="AF971" s="6"/>
      <c r="AG971" s="6"/>
      <c r="AH971" s="6"/>
      <c r="AI971" s="6"/>
      <c r="AJ971" s="6"/>
      <c r="AK971" s="6"/>
      <c r="AL971" s="6"/>
      <c r="AM971" s="6"/>
      <c r="AN971" s="6"/>
    </row>
    <row r="972" spans="1:40" ht="18.75" customHeight="1" x14ac:dyDescent="0.1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c r="AA972" s="6"/>
      <c r="AB972" s="6"/>
      <c r="AC972" s="6"/>
      <c r="AD972" s="6"/>
      <c r="AE972" s="6"/>
      <c r="AF972" s="6"/>
      <c r="AG972" s="6"/>
      <c r="AH972" s="6"/>
      <c r="AI972" s="6"/>
      <c r="AJ972" s="6"/>
      <c r="AK972" s="6"/>
      <c r="AL972" s="6"/>
      <c r="AM972" s="6"/>
      <c r="AN972" s="6"/>
    </row>
    <row r="973" spans="1:40" ht="18.75" customHeight="1" x14ac:dyDescent="0.1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c r="AA973" s="6"/>
      <c r="AB973" s="6"/>
      <c r="AC973" s="6"/>
      <c r="AD973" s="6"/>
      <c r="AE973" s="6"/>
      <c r="AF973" s="6"/>
      <c r="AG973" s="6"/>
      <c r="AH973" s="6"/>
      <c r="AI973" s="6"/>
      <c r="AJ973" s="6"/>
      <c r="AK973" s="6"/>
      <c r="AL973" s="6"/>
      <c r="AM973" s="6"/>
      <c r="AN973" s="6"/>
    </row>
    <row r="974" spans="1:40" ht="18.75" customHeight="1" x14ac:dyDescent="0.1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c r="AA974" s="6"/>
      <c r="AB974" s="6"/>
      <c r="AC974" s="6"/>
      <c r="AD974" s="6"/>
      <c r="AE974" s="6"/>
      <c r="AF974" s="6"/>
      <c r="AG974" s="6"/>
      <c r="AH974" s="6"/>
      <c r="AI974" s="6"/>
      <c r="AJ974" s="6"/>
      <c r="AK974" s="6"/>
      <c r="AL974" s="6"/>
      <c r="AM974" s="6"/>
      <c r="AN974" s="6"/>
    </row>
    <row r="975" spans="1:40" ht="18.75" customHeight="1" x14ac:dyDescent="0.1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c r="AA975" s="6"/>
      <c r="AB975" s="6"/>
      <c r="AC975" s="6"/>
      <c r="AD975" s="6"/>
      <c r="AE975" s="6"/>
      <c r="AF975" s="6"/>
      <c r="AG975" s="6"/>
      <c r="AH975" s="6"/>
      <c r="AI975" s="6"/>
      <c r="AJ975" s="6"/>
      <c r="AK975" s="6"/>
      <c r="AL975" s="6"/>
      <c r="AM975" s="6"/>
      <c r="AN975" s="6"/>
    </row>
    <row r="976" spans="1:40" ht="18.75" customHeight="1" x14ac:dyDescent="0.1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c r="AA976" s="6"/>
      <c r="AB976" s="6"/>
      <c r="AC976" s="6"/>
      <c r="AD976" s="6"/>
      <c r="AE976" s="6"/>
      <c r="AF976" s="6"/>
      <c r="AG976" s="6"/>
      <c r="AH976" s="6"/>
      <c r="AI976" s="6"/>
      <c r="AJ976" s="6"/>
      <c r="AK976" s="6"/>
      <c r="AL976" s="6"/>
      <c r="AM976" s="6"/>
      <c r="AN976" s="6"/>
    </row>
    <row r="977" spans="1:40" ht="18.75" customHeight="1" x14ac:dyDescent="0.1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c r="AA977" s="6"/>
      <c r="AB977" s="6"/>
      <c r="AC977" s="6"/>
      <c r="AD977" s="6"/>
      <c r="AE977" s="6"/>
      <c r="AF977" s="6"/>
      <c r="AG977" s="6"/>
      <c r="AH977" s="6"/>
      <c r="AI977" s="6"/>
      <c r="AJ977" s="6"/>
      <c r="AK977" s="6"/>
      <c r="AL977" s="6"/>
      <c r="AM977" s="6"/>
      <c r="AN977" s="6"/>
    </row>
    <row r="978" spans="1:40" ht="18.75" customHeight="1" x14ac:dyDescent="0.1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c r="AA978" s="6"/>
      <c r="AB978" s="6"/>
      <c r="AC978" s="6"/>
      <c r="AD978" s="6"/>
      <c r="AE978" s="6"/>
      <c r="AF978" s="6"/>
      <c r="AG978" s="6"/>
      <c r="AH978" s="6"/>
      <c r="AI978" s="6"/>
      <c r="AJ978" s="6"/>
      <c r="AK978" s="6"/>
      <c r="AL978" s="6"/>
      <c r="AM978" s="6"/>
      <c r="AN978" s="6"/>
    </row>
    <row r="979" spans="1:40" ht="18.75" customHeight="1" x14ac:dyDescent="0.1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c r="AA979" s="6"/>
      <c r="AB979" s="6"/>
      <c r="AC979" s="6"/>
      <c r="AD979" s="6"/>
      <c r="AE979" s="6"/>
      <c r="AF979" s="6"/>
      <c r="AG979" s="6"/>
      <c r="AH979" s="6"/>
      <c r="AI979" s="6"/>
      <c r="AJ979" s="6"/>
      <c r="AK979" s="6"/>
      <c r="AL979" s="6"/>
      <c r="AM979" s="6"/>
      <c r="AN979" s="6"/>
    </row>
    <row r="980" spans="1:40" ht="18.75" customHeight="1" x14ac:dyDescent="0.1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c r="AA980" s="6"/>
      <c r="AB980" s="6"/>
      <c r="AC980" s="6"/>
      <c r="AD980" s="6"/>
      <c r="AE980" s="6"/>
      <c r="AF980" s="6"/>
      <c r="AG980" s="6"/>
      <c r="AH980" s="6"/>
      <c r="AI980" s="6"/>
      <c r="AJ980" s="6"/>
      <c r="AK980" s="6"/>
      <c r="AL980" s="6"/>
      <c r="AM980" s="6"/>
      <c r="AN980" s="6"/>
    </row>
    <row r="981" spans="1:40" ht="18.75" customHeight="1" x14ac:dyDescent="0.1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c r="AA981" s="6"/>
      <c r="AB981" s="6"/>
      <c r="AC981" s="6"/>
      <c r="AD981" s="6"/>
      <c r="AE981" s="6"/>
      <c r="AF981" s="6"/>
      <c r="AG981" s="6"/>
      <c r="AH981" s="6"/>
      <c r="AI981" s="6"/>
      <c r="AJ981" s="6"/>
      <c r="AK981" s="6"/>
      <c r="AL981" s="6"/>
      <c r="AM981" s="6"/>
      <c r="AN981" s="6"/>
    </row>
    <row r="982" spans="1:40" ht="18.75" customHeight="1" x14ac:dyDescent="0.1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c r="AA982" s="6"/>
      <c r="AB982" s="6"/>
      <c r="AC982" s="6"/>
      <c r="AD982" s="6"/>
      <c r="AE982" s="6"/>
      <c r="AF982" s="6"/>
      <c r="AG982" s="6"/>
      <c r="AH982" s="6"/>
      <c r="AI982" s="6"/>
      <c r="AJ982" s="6"/>
      <c r="AK982" s="6"/>
      <c r="AL982" s="6"/>
      <c r="AM982" s="6"/>
      <c r="AN982" s="6"/>
    </row>
    <row r="983" spans="1:40" ht="18.75" customHeight="1" x14ac:dyDescent="0.1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c r="AA983" s="6"/>
      <c r="AB983" s="6"/>
      <c r="AC983" s="6"/>
      <c r="AD983" s="6"/>
      <c r="AE983" s="6"/>
      <c r="AF983" s="6"/>
      <c r="AG983" s="6"/>
      <c r="AH983" s="6"/>
      <c r="AI983" s="6"/>
      <c r="AJ983" s="6"/>
      <c r="AK983" s="6"/>
      <c r="AL983" s="6"/>
      <c r="AM983" s="6"/>
      <c r="AN983" s="6"/>
    </row>
    <row r="984" spans="1:40" ht="18.75" customHeight="1" x14ac:dyDescent="0.1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c r="AA984" s="6"/>
      <c r="AB984" s="6"/>
      <c r="AC984" s="6"/>
      <c r="AD984" s="6"/>
      <c r="AE984" s="6"/>
      <c r="AF984" s="6"/>
      <c r="AG984" s="6"/>
      <c r="AH984" s="6"/>
      <c r="AI984" s="6"/>
      <c r="AJ984" s="6"/>
      <c r="AK984" s="6"/>
      <c r="AL984" s="6"/>
      <c r="AM984" s="6"/>
      <c r="AN984" s="6"/>
    </row>
    <row r="985" spans="1:40" ht="18.75" customHeight="1" x14ac:dyDescent="0.1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c r="AA985" s="6"/>
      <c r="AB985" s="6"/>
      <c r="AC985" s="6"/>
      <c r="AD985" s="6"/>
      <c r="AE985" s="6"/>
      <c r="AF985" s="6"/>
      <c r="AG985" s="6"/>
      <c r="AH985" s="6"/>
      <c r="AI985" s="6"/>
      <c r="AJ985" s="6"/>
      <c r="AK985" s="6"/>
      <c r="AL985" s="6"/>
      <c r="AM985" s="6"/>
      <c r="AN985" s="6"/>
    </row>
    <row r="986" spans="1:40" ht="18.75" customHeight="1" x14ac:dyDescent="0.1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c r="AA986" s="6"/>
      <c r="AB986" s="6"/>
      <c r="AC986" s="6"/>
      <c r="AD986" s="6"/>
      <c r="AE986" s="6"/>
      <c r="AF986" s="6"/>
      <c r="AG986" s="6"/>
      <c r="AH986" s="6"/>
      <c r="AI986" s="6"/>
      <c r="AJ986" s="6"/>
      <c r="AK986" s="6"/>
      <c r="AL986" s="6"/>
      <c r="AM986" s="6"/>
      <c r="AN986" s="6"/>
    </row>
    <row r="987" spans="1:40" ht="18.75" customHeight="1" x14ac:dyDescent="0.1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c r="AA987" s="6"/>
      <c r="AB987" s="6"/>
      <c r="AC987" s="6"/>
      <c r="AD987" s="6"/>
      <c r="AE987" s="6"/>
      <c r="AF987" s="6"/>
      <c r="AG987" s="6"/>
      <c r="AH987" s="6"/>
      <c r="AI987" s="6"/>
      <c r="AJ987" s="6"/>
      <c r="AK987" s="6"/>
      <c r="AL987" s="6"/>
      <c r="AM987" s="6"/>
      <c r="AN987" s="6"/>
    </row>
    <row r="988" spans="1:40" ht="18.75" customHeight="1" x14ac:dyDescent="0.1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c r="AA988" s="6"/>
      <c r="AB988" s="6"/>
      <c r="AC988" s="6"/>
      <c r="AD988" s="6"/>
      <c r="AE988" s="6"/>
      <c r="AF988" s="6"/>
      <c r="AG988" s="6"/>
      <c r="AH988" s="6"/>
      <c r="AI988" s="6"/>
      <c r="AJ988" s="6"/>
      <c r="AK988" s="6"/>
      <c r="AL988" s="6"/>
      <c r="AM988" s="6"/>
      <c r="AN988" s="6"/>
    </row>
    <row r="989" spans="1:40" ht="18.75" customHeight="1" x14ac:dyDescent="0.1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c r="AA989" s="6"/>
      <c r="AB989" s="6"/>
      <c r="AC989" s="6"/>
      <c r="AD989" s="6"/>
      <c r="AE989" s="6"/>
      <c r="AF989" s="6"/>
      <c r="AG989" s="6"/>
      <c r="AH989" s="6"/>
      <c r="AI989" s="6"/>
      <c r="AJ989" s="6"/>
      <c r="AK989" s="6"/>
      <c r="AL989" s="6"/>
      <c r="AM989" s="6"/>
      <c r="AN989" s="6"/>
    </row>
    <row r="990" spans="1:40" ht="18.75" customHeight="1" x14ac:dyDescent="0.1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c r="AA990" s="6"/>
      <c r="AB990" s="6"/>
      <c r="AC990" s="6"/>
      <c r="AD990" s="6"/>
      <c r="AE990" s="6"/>
      <c r="AF990" s="6"/>
      <c r="AG990" s="6"/>
      <c r="AH990" s="6"/>
      <c r="AI990" s="6"/>
      <c r="AJ990" s="6"/>
      <c r="AK990" s="6"/>
      <c r="AL990" s="6"/>
      <c r="AM990" s="6"/>
      <c r="AN990" s="6"/>
    </row>
    <row r="991" spans="1:40" ht="18.75" customHeight="1" x14ac:dyDescent="0.1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c r="AA991" s="6"/>
      <c r="AB991" s="6"/>
      <c r="AC991" s="6"/>
      <c r="AD991" s="6"/>
      <c r="AE991" s="6"/>
      <c r="AF991" s="6"/>
      <c r="AG991" s="6"/>
      <c r="AH991" s="6"/>
      <c r="AI991" s="6"/>
      <c r="AJ991" s="6"/>
      <c r="AK991" s="6"/>
      <c r="AL991" s="6"/>
      <c r="AM991" s="6"/>
      <c r="AN991" s="6"/>
    </row>
    <row r="992" spans="1:40" ht="18.75" customHeight="1" x14ac:dyDescent="0.1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c r="AA992" s="6"/>
      <c r="AB992" s="6"/>
      <c r="AC992" s="6"/>
      <c r="AD992" s="6"/>
      <c r="AE992" s="6"/>
      <c r="AF992" s="6"/>
      <c r="AG992" s="6"/>
      <c r="AH992" s="6"/>
      <c r="AI992" s="6"/>
      <c r="AJ992" s="6"/>
      <c r="AK992" s="6"/>
      <c r="AL992" s="6"/>
      <c r="AM992" s="6"/>
      <c r="AN992" s="6"/>
    </row>
    <row r="993" spans="1:40" ht="18.75" customHeight="1" x14ac:dyDescent="0.1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c r="AA993" s="6"/>
      <c r="AB993" s="6"/>
      <c r="AC993" s="6"/>
      <c r="AD993" s="6"/>
      <c r="AE993" s="6"/>
      <c r="AF993" s="6"/>
      <c r="AG993" s="6"/>
      <c r="AH993" s="6"/>
      <c r="AI993" s="6"/>
      <c r="AJ993" s="6"/>
      <c r="AK993" s="6"/>
      <c r="AL993" s="6"/>
      <c r="AM993" s="6"/>
      <c r="AN993" s="6"/>
    </row>
    <row r="994" spans="1:40" ht="18.75" customHeight="1" x14ac:dyDescent="0.1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c r="AA994" s="6"/>
      <c r="AB994" s="6"/>
      <c r="AC994" s="6"/>
      <c r="AD994" s="6"/>
      <c r="AE994" s="6"/>
      <c r="AF994" s="6"/>
      <c r="AG994" s="6"/>
      <c r="AH994" s="6"/>
      <c r="AI994" s="6"/>
      <c r="AJ994" s="6"/>
      <c r="AK994" s="6"/>
      <c r="AL994" s="6"/>
      <c r="AM994" s="6"/>
      <c r="AN994" s="6"/>
    </row>
    <row r="995" spans="1:40" ht="18.75" customHeight="1" x14ac:dyDescent="0.1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c r="AA995" s="6"/>
      <c r="AB995" s="6"/>
      <c r="AC995" s="6"/>
      <c r="AD995" s="6"/>
      <c r="AE995" s="6"/>
      <c r="AF995" s="6"/>
      <c r="AG995" s="6"/>
      <c r="AH995" s="6"/>
      <c r="AI995" s="6"/>
      <c r="AJ995" s="6"/>
      <c r="AK995" s="6"/>
      <c r="AL995" s="6"/>
      <c r="AM995" s="6"/>
      <c r="AN995" s="6"/>
    </row>
    <row r="996" spans="1:40" ht="18.75" customHeight="1" x14ac:dyDescent="0.1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c r="AA996" s="6"/>
      <c r="AB996" s="6"/>
      <c r="AC996" s="6"/>
      <c r="AD996" s="6"/>
      <c r="AE996" s="6"/>
      <c r="AF996" s="6"/>
      <c r="AG996" s="6"/>
      <c r="AH996" s="6"/>
      <c r="AI996" s="6"/>
      <c r="AJ996" s="6"/>
      <c r="AK996" s="6"/>
      <c r="AL996" s="6"/>
      <c r="AM996" s="6"/>
      <c r="AN996" s="6"/>
    </row>
    <row r="997" spans="1:40" ht="18.75" customHeight="1" x14ac:dyDescent="0.1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c r="AA997" s="6"/>
      <c r="AB997" s="6"/>
      <c r="AC997" s="6"/>
      <c r="AD997" s="6"/>
      <c r="AE997" s="6"/>
      <c r="AF997" s="6"/>
      <c r="AG997" s="6"/>
      <c r="AH997" s="6"/>
      <c r="AI997" s="6"/>
      <c r="AJ997" s="6"/>
      <c r="AK997" s="6"/>
      <c r="AL997" s="6"/>
      <c r="AM997" s="6"/>
      <c r="AN997" s="6"/>
    </row>
    <row r="998" spans="1:40" ht="18.75" customHeight="1" x14ac:dyDescent="0.1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c r="AA998" s="6"/>
      <c r="AB998" s="6"/>
      <c r="AC998" s="6"/>
      <c r="AD998" s="6"/>
      <c r="AE998" s="6"/>
      <c r="AF998" s="6"/>
      <c r="AG998" s="6"/>
      <c r="AH998" s="6"/>
      <c r="AI998" s="6"/>
      <c r="AJ998" s="6"/>
      <c r="AK998" s="6"/>
      <c r="AL998" s="6"/>
      <c r="AM998" s="6"/>
      <c r="AN998" s="6"/>
    </row>
    <row r="999" spans="1:40" ht="18.75" customHeight="1" x14ac:dyDescent="0.1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c r="AA999" s="6"/>
      <c r="AB999" s="6"/>
      <c r="AC999" s="6"/>
      <c r="AD999" s="6"/>
      <c r="AE999" s="6"/>
      <c r="AF999" s="6"/>
      <c r="AG999" s="6"/>
      <c r="AH999" s="6"/>
      <c r="AI999" s="6"/>
      <c r="AJ999" s="6"/>
      <c r="AK999" s="6"/>
      <c r="AL999" s="6"/>
      <c r="AM999" s="6"/>
      <c r="AN999" s="6"/>
    </row>
    <row r="1000" spans="1:40" ht="18.75" customHeight="1" x14ac:dyDescent="0.1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c r="AA1000" s="6"/>
      <c r="AB1000" s="6"/>
      <c r="AC1000" s="6"/>
      <c r="AD1000" s="6"/>
      <c r="AE1000" s="6"/>
      <c r="AF1000" s="6"/>
      <c r="AG1000" s="6"/>
      <c r="AH1000" s="6"/>
      <c r="AI1000" s="6"/>
      <c r="AJ1000" s="6"/>
      <c r="AK1000" s="6"/>
      <c r="AL1000" s="6"/>
      <c r="AM1000" s="6"/>
      <c r="AN1000" s="6"/>
    </row>
  </sheetData>
  <mergeCells count="3">
    <mergeCell ref="A66:M66"/>
    <mergeCell ref="A38:M38"/>
    <mergeCell ref="A12:M12"/>
  </mergeCells>
  <conditionalFormatting sqref="B8">
    <cfRule type="cellIs" dxfId="2" priority="6" operator="equal">
      <formula>TRUE</formula>
    </cfRule>
  </conditionalFormatting>
  <conditionalFormatting sqref="A13:M37">
    <cfRule type="colorScale" priority="10">
      <colorScale>
        <cfvo type="min"/>
        <cfvo type="percentile" val="50"/>
        <cfvo type="max"/>
        <color rgb="FF63BE7B"/>
        <color rgb="FFFFEB84"/>
        <color rgb="FFF8696B"/>
      </colorScale>
    </cfRule>
  </conditionalFormatting>
  <conditionalFormatting sqref="A41:M65">
    <cfRule type="colorScale" priority="11">
      <colorScale>
        <cfvo type="min"/>
        <cfvo type="percentile" val="50"/>
        <cfvo type="max"/>
        <color rgb="FF63BE7B"/>
        <color rgb="FFFFEB84"/>
        <color rgb="FFF8696B"/>
      </colorScale>
    </cfRule>
  </conditionalFormatting>
  <conditionalFormatting sqref="A66">
    <cfRule type="colorScale" priority="3">
      <colorScale>
        <cfvo type="min"/>
        <cfvo type="percentile" val="50"/>
        <cfvo type="max"/>
        <color rgb="FF63BE7B"/>
        <color rgb="FFFFEB84"/>
        <color rgb="FFF8696B"/>
      </colorScale>
    </cfRule>
  </conditionalFormatting>
  <conditionalFormatting sqref="A68:M92">
    <cfRule type="colorScale" priority="12">
      <colorScale>
        <cfvo type="min"/>
        <cfvo type="percentile" val="50"/>
        <cfvo type="max"/>
        <color rgb="FF63BE7B"/>
        <color rgb="FFFFEB84"/>
        <color rgb="FFF8696B"/>
      </colorScale>
    </cfRule>
  </conditionalFormatting>
  <conditionalFormatting sqref="A38">
    <cfRule type="colorScale" priority="2">
      <colorScale>
        <cfvo type="min"/>
        <cfvo type="percentile" val="50"/>
        <cfvo type="max"/>
        <color rgb="FF63BE7B"/>
        <color rgb="FFFFEB84"/>
        <color rgb="FFF8696B"/>
      </colorScale>
    </cfRule>
  </conditionalFormatting>
  <conditionalFormatting sqref="A12">
    <cfRule type="colorScale" priority="1">
      <colorScale>
        <cfvo type="min"/>
        <cfvo type="percentile" val="50"/>
        <cfvo type="max"/>
        <color rgb="FF63BE7B"/>
        <color rgb="FFFFEB84"/>
        <color rgb="FFF8696B"/>
      </colorScale>
    </cfRule>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adMeSheet">
                <anchor moveWithCells="1" sizeWithCells="1">
                  <from>
                    <xdr:col>6</xdr:col>
                    <xdr:colOff>863600</xdr:colOff>
                    <xdr:row>6</xdr:row>
                    <xdr:rowOff>177800</xdr:rowOff>
                  </from>
                  <to>
                    <xdr:col>8</xdr:col>
                    <xdr:colOff>444500</xdr:colOff>
                    <xdr:row>8</xdr:row>
                    <xdr:rowOff>177800</xdr:rowOff>
                  </to>
                </anchor>
              </controlPr>
            </control>
          </mc:Choice>
        </mc:AlternateContent>
        <mc:AlternateContent xmlns:mc="http://schemas.openxmlformats.org/markup-compatibility/2006">
          <mc:Choice Requires="x14">
            <control shapeId="3074" r:id="rId5" name="Button 2">
              <controlPr defaultSize="0" print="0" autoFill="0" autoPict="0" macro="[0]!InputsSheet">
                <anchor moveWithCells="1" sizeWithCells="1">
                  <from>
                    <xdr:col>9</xdr:col>
                    <xdr:colOff>292100</xdr:colOff>
                    <xdr:row>6</xdr:row>
                    <xdr:rowOff>152400</xdr:rowOff>
                  </from>
                  <to>
                    <xdr:col>11</xdr:col>
                    <xdr:colOff>63500</xdr:colOff>
                    <xdr:row>8</xdr:row>
                    <xdr:rowOff>177800</xdr:rowOff>
                  </to>
                </anchor>
              </controlPr>
            </control>
          </mc:Choice>
        </mc:AlternateContent>
        <mc:AlternateContent xmlns:mc="http://schemas.openxmlformats.org/markup-compatibility/2006">
          <mc:Choice Requires="x14">
            <control shapeId="3075" r:id="rId6" name="Button 3">
              <controlPr defaultSize="0" print="0" autoFill="0" autoPict="0" macro="[0]!HedgeRatio">
                <anchor moveWithCells="1" sizeWithCells="1">
                  <from>
                    <xdr:col>8</xdr:col>
                    <xdr:colOff>825500</xdr:colOff>
                    <xdr:row>1</xdr:row>
                    <xdr:rowOff>457200</xdr:rowOff>
                  </from>
                  <to>
                    <xdr:col>11</xdr:col>
                    <xdr:colOff>0</xdr:colOff>
                    <xdr:row>3</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P1000"/>
  <sheetViews>
    <sheetView showGridLines="0" zoomScale="80" workbookViewId="0">
      <selection activeCell="I26" sqref="I26"/>
    </sheetView>
  </sheetViews>
  <sheetFormatPr baseColWidth="10" defaultColWidth="12.6640625" defaultRowHeight="15" customHeight="1" x14ac:dyDescent="0.15"/>
  <cols>
    <col min="1" max="2" width="7.6640625" customWidth="1"/>
    <col min="3" max="3" width="35.83203125" customWidth="1"/>
    <col min="4" max="4" width="9.33203125" customWidth="1"/>
    <col min="5" max="8" width="7.6640625" customWidth="1"/>
    <col min="9" max="9" width="83.1640625" customWidth="1"/>
    <col min="10" max="26" width="7.6640625" customWidth="1"/>
  </cols>
  <sheetData>
    <row r="1" spans="2:16" ht="60" customHeight="1" x14ac:dyDescent="0.6">
      <c r="B1" s="17" t="s">
        <v>33</v>
      </c>
    </row>
    <row r="2" spans="2:16" x14ac:dyDescent="0.2">
      <c r="B2" s="79" t="s">
        <v>34</v>
      </c>
      <c r="C2" s="80"/>
      <c r="D2" s="80"/>
      <c r="E2" s="78"/>
      <c r="F2" s="6"/>
      <c r="G2" s="6"/>
      <c r="H2" s="13"/>
    </row>
    <row r="3" spans="2:16" x14ac:dyDescent="0.2">
      <c r="B3" s="33"/>
      <c r="C3" s="34"/>
      <c r="D3" s="34"/>
      <c r="E3" s="35"/>
      <c r="I3" s="36" t="s">
        <v>35</v>
      </c>
      <c r="J3" s="37"/>
      <c r="K3" s="37"/>
      <c r="L3" s="37"/>
      <c r="M3" s="37"/>
      <c r="N3" s="37"/>
      <c r="O3" s="37"/>
      <c r="P3" s="37"/>
    </row>
    <row r="4" spans="2:16" x14ac:dyDescent="0.2">
      <c r="B4" s="38"/>
      <c r="C4" s="22" t="s">
        <v>36</v>
      </c>
      <c r="D4" s="39">
        <f>(LN(Stock/Exercise)+(Rate-dividend_rate+(Sigma^2)/2)*Time)/(Sigma*SQRT(Time))</f>
        <v>0.42965772105829358</v>
      </c>
      <c r="E4" s="40"/>
      <c r="I4" s="41" t="str">
        <f>GetCF(d_1)</f>
        <v>D4:  =(LN(Stock/Exercise)+(Rate-dividend_rate+(Sigma^2)/2)*Time)/(Sigma*SQRT(Time))</v>
      </c>
      <c r="J4" s="37"/>
      <c r="K4" s="37"/>
      <c r="L4" s="37"/>
      <c r="M4" s="37"/>
      <c r="N4" s="37"/>
      <c r="O4" s="37"/>
      <c r="P4" s="37"/>
    </row>
    <row r="5" spans="2:16" x14ac:dyDescent="0.2">
      <c r="B5" s="38"/>
      <c r="C5" s="22" t="s">
        <v>37</v>
      </c>
      <c r="D5" s="39">
        <f>(LN(Stock/Exercise)+(Rate-dividend_rate-(Sigma^2)/2)*Time)/(Sigma*SQRT(Time))</f>
        <v>6.5366171151720442E-2</v>
      </c>
      <c r="E5" s="40"/>
      <c r="I5" s="41" t="str">
        <f>GetCF(d_2)</f>
        <v>D5:  =(LN(Stock/Exercise)+(Rate-dividend_rate-(Sigma^2)/2)*Time)/(Sigma*SQRT(Time))</v>
      </c>
      <c r="J5" s="37"/>
      <c r="K5" s="37"/>
      <c r="L5" s="37"/>
      <c r="M5" s="37"/>
      <c r="N5" s="37"/>
      <c r="O5" s="37"/>
      <c r="P5" s="37"/>
    </row>
    <row r="6" spans="2:16" x14ac:dyDescent="0.2">
      <c r="B6" s="38"/>
      <c r="C6" s="22" t="s">
        <v>38</v>
      </c>
      <c r="D6" s="39">
        <f>_xlfn.NORM.S.DIST(d_1,TRUE)</f>
        <v>0.66627767873897725</v>
      </c>
      <c r="E6" s="40"/>
      <c r="I6" s="41" t="str">
        <f>GetCF(Nd_1)</f>
        <v>D6:  =NORM.S.DIST(d_1,TRUE)</v>
      </c>
      <c r="J6" s="37"/>
      <c r="K6" s="37"/>
      <c r="L6" s="37"/>
      <c r="M6" s="37"/>
      <c r="N6" s="37"/>
      <c r="O6" s="37"/>
      <c r="P6" s="37"/>
    </row>
    <row r="7" spans="2:16" x14ac:dyDescent="0.2">
      <c r="B7" s="38"/>
      <c r="C7" s="22" t="s">
        <v>39</v>
      </c>
      <c r="D7" s="39">
        <f>_xlfn.NORM.S.DIST(d_2,TRUE)</f>
        <v>0.52605877101742249</v>
      </c>
      <c r="E7" s="40"/>
      <c r="I7" s="41" t="str">
        <f>GetCF(Nd_2)</f>
        <v>D7:  =NORM.S.DIST(d_2,TRUE)</v>
      </c>
      <c r="J7" s="37"/>
      <c r="K7" s="37"/>
      <c r="L7" s="37"/>
      <c r="M7" s="37"/>
      <c r="N7" s="37"/>
      <c r="O7" s="37"/>
      <c r="P7" s="37"/>
    </row>
    <row r="8" spans="2:16" x14ac:dyDescent="0.2">
      <c r="B8" s="38"/>
      <c r="C8" s="22" t="s">
        <v>40</v>
      </c>
      <c r="D8" s="39">
        <f>_xlfn.NORM.S.DIST(-d_1,TRUE)</f>
        <v>0.33372232126102269</v>
      </c>
      <c r="E8" s="40"/>
      <c r="I8" s="41" t="str">
        <f>GetCF(Nminusd_1)</f>
        <v>D8:  =NORM.S.DIST(-d_1,TRUE)</v>
      </c>
      <c r="J8" s="37"/>
      <c r="K8" s="37"/>
      <c r="L8" s="37"/>
      <c r="M8" s="37"/>
      <c r="N8" s="37"/>
      <c r="O8" s="37"/>
      <c r="P8" s="37"/>
    </row>
    <row r="9" spans="2:16" x14ac:dyDescent="0.2">
      <c r="B9" s="38"/>
      <c r="C9" s="22" t="s">
        <v>41</v>
      </c>
      <c r="D9" s="39">
        <f>_xlfn.NORM.S.DIST(-d_2,TRUE)</f>
        <v>0.47394122898257751</v>
      </c>
      <c r="E9" s="40"/>
      <c r="I9" s="41" t="str">
        <f>GetCF(Nminusd_2)</f>
        <v>D9:  =NORM.S.DIST(-d_2,TRUE)</v>
      </c>
      <c r="J9" s="37"/>
      <c r="K9" s="37"/>
      <c r="L9" s="37"/>
      <c r="M9" s="37"/>
      <c r="N9" s="37"/>
      <c r="O9" s="37"/>
      <c r="P9" s="37"/>
    </row>
    <row r="10" spans="2:16" ht="14.25" hidden="1" customHeight="1" x14ac:dyDescent="0.2">
      <c r="B10" s="38"/>
      <c r="C10" s="42" t="s">
        <v>42</v>
      </c>
      <c r="D10" s="43">
        <f>Stock*Nd_1*EXP(-dividend_rate*Time)-Exercise*EXP(-Rate*Time)*Nd_2</f>
        <v>19.961832129299374</v>
      </c>
      <c r="E10" s="40"/>
      <c r="I10" s="41" t="str">
        <f t="shared" ref="I10:I11" si="0">GetCF(D10)</f>
        <v>D10:  =Stock*Nd_1*EXP(-dividend_rate*Time)-Exercise*EXP(-Rate*Time)*Nd_2</v>
      </c>
      <c r="J10" s="37"/>
      <c r="K10" s="37"/>
      <c r="L10" s="37"/>
      <c r="M10" s="37"/>
      <c r="N10" s="37"/>
      <c r="O10" s="37"/>
      <c r="P10" s="37"/>
    </row>
    <row r="11" spans="2:16" hidden="1" x14ac:dyDescent="0.2">
      <c r="B11" s="38"/>
      <c r="C11" s="42" t="s">
        <v>12</v>
      </c>
      <c r="D11" s="44">
        <f>Exercise*EXP(-Rate*Time)*Nminusd_2-Stock*Nminusd_1*EXP(-dividend_rate*Time)</f>
        <v>10.687320370485452</v>
      </c>
      <c r="E11" s="40"/>
      <c r="I11" s="41" t="str">
        <f t="shared" si="0"/>
        <v>D11:  =Exercise*EXP(-Rate*Time)*Nminusd_2-Stock*Nminusd_1*EXP(-dividend_rate*Time)</v>
      </c>
      <c r="J11" s="37"/>
      <c r="K11" s="37"/>
      <c r="L11" s="37"/>
      <c r="M11" s="37"/>
      <c r="N11" s="37"/>
      <c r="O11" s="37"/>
      <c r="P11" s="37"/>
    </row>
    <row r="12" spans="2:16" ht="32" x14ac:dyDescent="0.2">
      <c r="B12" s="45"/>
      <c r="C12" s="46" t="s">
        <v>43</v>
      </c>
      <c r="D12" s="47">
        <f>IF(bs_option_type="Call",Stock*Nd_1*EXP(-dividend_rate*Time)-Exercise*EXP(-Rate*Time)*Nd_2,IF(bs_option_type="Put",Exercise*EXP(-Rate*Time)*Nminusd_2-Stock*Nminusd_1*EXP(-dividend_rate*Time),"Please choose an option type (Call or Put)"))</f>
        <v>19.961832129299374</v>
      </c>
      <c r="E12" s="48"/>
      <c r="I12" s="49" t="str">
        <f>"If it's a call then we calculate as the following: "&amp;RIGHT(GetCF(D10),LEN(GetCF(D10))-FIND("=",GetCF(D10)))</f>
        <v>If it's a call then we calculate as the following: Stock*Nd_1*EXP(-dividend_rate*Time)-Exercise*EXP(-Rate*Time)*Nd_2</v>
      </c>
      <c r="J12" s="37"/>
      <c r="K12" s="37"/>
      <c r="L12" s="37"/>
      <c r="M12" s="37"/>
      <c r="N12" s="37"/>
      <c r="O12" s="37"/>
      <c r="P12" s="37"/>
    </row>
    <row r="13" spans="2:16" ht="32" x14ac:dyDescent="0.2">
      <c r="I13" s="49" t="str">
        <f>"when it's a put, we use the following expression: "&amp;RIGHT(GetCF(D11),LEN(GetCF(D11))-FIND("=",GetCF(D11)))</f>
        <v>when it's a put, we use the following expression: Exercise*EXP(-Rate*Time)*Nminusd_2-Stock*Nminusd_1*EXP(-dividend_rate*Time)</v>
      </c>
      <c r="J13" s="37"/>
      <c r="K13" s="37"/>
      <c r="L13" s="37"/>
      <c r="M13" s="37"/>
      <c r="N13" s="37"/>
      <c r="O13" s="37"/>
      <c r="P13" s="37"/>
    </row>
    <row r="14" spans="2:16" x14ac:dyDescent="0.2">
      <c r="C14" s="50" t="s">
        <v>44</v>
      </c>
      <c r="D14" s="47">
        <v>19.961832129299381</v>
      </c>
    </row>
    <row r="16" spans="2:16" ht="32" x14ac:dyDescent="0.2">
      <c r="C16" s="51" t="s">
        <v>45</v>
      </c>
      <c r="D16" s="24" t="b">
        <f>vba_bs_result=D12</f>
        <v>1</v>
      </c>
      <c r="E16" s="52"/>
    </row>
    <row r="21" ht="15.75" customHeight="1" x14ac:dyDescent="0.15"/>
    <row r="22" ht="15.75" customHeight="1" x14ac:dyDescent="0.15"/>
    <row r="23" ht="15.75" customHeight="1" x14ac:dyDescent="0.15"/>
    <row r="24" ht="15.75" customHeight="1" x14ac:dyDescent="0.15"/>
    <row r="25" ht="15.75" customHeight="1" x14ac:dyDescent="0.15"/>
    <row r="26" ht="15.75" customHeight="1" x14ac:dyDescent="0.15"/>
    <row r="27" ht="15.75" customHeight="1" x14ac:dyDescent="0.15"/>
    <row r="28" ht="15.75" customHeight="1" x14ac:dyDescent="0.15"/>
    <row r="29" ht="15.75" customHeight="1" x14ac:dyDescent="0.15"/>
    <row r="30" ht="15.75" customHeight="1" x14ac:dyDescent="0.15"/>
    <row r="31" ht="15.75" customHeight="1" x14ac:dyDescent="0.15"/>
    <row r="32" ht="15.75" customHeight="1" x14ac:dyDescent="0.15"/>
    <row r="33" ht="15.75" customHeight="1" x14ac:dyDescent="0.15"/>
    <row r="34" ht="15.75" customHeight="1" x14ac:dyDescent="0.15"/>
    <row r="35" ht="15.75" customHeight="1" x14ac:dyDescent="0.15"/>
    <row r="36" ht="15.75" customHeight="1" x14ac:dyDescent="0.15"/>
    <row r="37" ht="15.75" customHeight="1" x14ac:dyDescent="0.15"/>
    <row r="38" ht="15.75" customHeight="1" x14ac:dyDescent="0.15"/>
    <row r="39" ht="15.75" customHeight="1" x14ac:dyDescent="0.15"/>
    <row r="40" ht="15.75" customHeight="1" x14ac:dyDescent="0.15"/>
    <row r="41" ht="15.75" customHeight="1" x14ac:dyDescent="0.15"/>
    <row r="42" ht="15.75" customHeight="1" x14ac:dyDescent="0.15"/>
    <row r="43" ht="15.75" customHeight="1" x14ac:dyDescent="0.15"/>
    <row r="44" ht="15.75" customHeight="1" x14ac:dyDescent="0.15"/>
    <row r="45" ht="15.75" customHeight="1" x14ac:dyDescent="0.15"/>
    <row r="46" ht="15.75" customHeight="1" x14ac:dyDescent="0.15"/>
    <row r="47" ht="15.75" customHeight="1" x14ac:dyDescent="0.15"/>
    <row r="48" ht="15.75" customHeight="1" x14ac:dyDescent="0.15"/>
    <row r="49" ht="15.75" customHeight="1" x14ac:dyDescent="0.15"/>
    <row r="50" ht="15.75" customHeight="1" x14ac:dyDescent="0.15"/>
    <row r="51" ht="15.75" customHeight="1" x14ac:dyDescent="0.15"/>
    <row r="52" ht="15.75" customHeight="1" x14ac:dyDescent="0.15"/>
    <row r="53" ht="15.75" customHeight="1" x14ac:dyDescent="0.15"/>
    <row r="54" ht="15.75" customHeight="1" x14ac:dyDescent="0.15"/>
    <row r="55" ht="15.75" customHeight="1" x14ac:dyDescent="0.15"/>
    <row r="56" ht="15.75" customHeight="1" x14ac:dyDescent="0.15"/>
    <row r="57" ht="15.75" customHeight="1" x14ac:dyDescent="0.15"/>
    <row r="58" ht="15.75" customHeight="1" x14ac:dyDescent="0.15"/>
    <row r="59" ht="15.75" customHeight="1" x14ac:dyDescent="0.15"/>
    <row r="60" ht="15.75" customHeight="1" x14ac:dyDescent="0.15"/>
    <row r="61" ht="15.75" customHeight="1" x14ac:dyDescent="0.15"/>
    <row r="62" ht="15.75" customHeight="1" x14ac:dyDescent="0.15"/>
    <row r="63" ht="15.75" customHeight="1" x14ac:dyDescent="0.15"/>
    <row r="64" ht="15.75" customHeight="1" x14ac:dyDescent="0.15"/>
    <row r="65" ht="15.75" customHeight="1" x14ac:dyDescent="0.15"/>
    <row r="66" ht="15.75" customHeight="1" x14ac:dyDescent="0.15"/>
    <row r="67" ht="15.75" customHeight="1" x14ac:dyDescent="0.15"/>
    <row r="68" ht="15.75" customHeight="1" x14ac:dyDescent="0.15"/>
    <row r="69" ht="15.75" customHeight="1" x14ac:dyDescent="0.15"/>
    <row r="70" ht="15.75" customHeight="1" x14ac:dyDescent="0.15"/>
    <row r="71" ht="15.75" customHeight="1" x14ac:dyDescent="0.15"/>
    <row r="72" ht="15.75" customHeight="1" x14ac:dyDescent="0.15"/>
    <row r="73" ht="15.75" customHeight="1" x14ac:dyDescent="0.15"/>
    <row r="74" ht="15.75" customHeight="1" x14ac:dyDescent="0.15"/>
    <row r="75" ht="15.75" customHeight="1" x14ac:dyDescent="0.15"/>
    <row r="76" ht="15.75" customHeight="1" x14ac:dyDescent="0.15"/>
    <row r="77" ht="15.75" customHeight="1" x14ac:dyDescent="0.15"/>
    <row r="78" ht="15.75" customHeight="1" x14ac:dyDescent="0.15"/>
    <row r="79" ht="15.75" customHeight="1" x14ac:dyDescent="0.15"/>
    <row r="80" ht="15.75" customHeight="1" x14ac:dyDescent="0.15"/>
    <row r="81" ht="15.75" customHeight="1" x14ac:dyDescent="0.15"/>
    <row r="82" ht="15.75" customHeight="1" x14ac:dyDescent="0.15"/>
    <row r="83" ht="15.75" customHeight="1" x14ac:dyDescent="0.15"/>
    <row r="84" ht="15.75" customHeight="1" x14ac:dyDescent="0.15"/>
    <row r="85" ht="15.75" customHeight="1" x14ac:dyDescent="0.15"/>
    <row r="86" ht="15.75" customHeight="1" x14ac:dyDescent="0.15"/>
    <row r="87" ht="15.75" customHeight="1" x14ac:dyDescent="0.15"/>
    <row r="88" ht="15.75" customHeight="1" x14ac:dyDescent="0.15"/>
    <row r="89" ht="15.75" customHeight="1" x14ac:dyDescent="0.15"/>
    <row r="90" ht="15.75" customHeight="1" x14ac:dyDescent="0.15"/>
    <row r="91" ht="15.75" customHeight="1" x14ac:dyDescent="0.15"/>
    <row r="92" ht="15.75" customHeight="1" x14ac:dyDescent="0.15"/>
    <row r="93" ht="15.75" customHeight="1" x14ac:dyDescent="0.15"/>
    <row r="94" ht="15.75" customHeight="1" x14ac:dyDescent="0.15"/>
    <row r="95" ht="15.75" customHeight="1" x14ac:dyDescent="0.15"/>
    <row r="96" ht="15.75" customHeight="1" x14ac:dyDescent="0.15"/>
    <row r="97" ht="15.75" customHeight="1" x14ac:dyDescent="0.15"/>
    <row r="98" ht="15.75" customHeight="1" x14ac:dyDescent="0.15"/>
    <row r="99" ht="15.75" customHeight="1" x14ac:dyDescent="0.15"/>
    <row r="100" ht="15.75" customHeight="1" x14ac:dyDescent="0.15"/>
    <row r="101" ht="15.75" customHeight="1" x14ac:dyDescent="0.15"/>
    <row r="102" ht="15.75" customHeight="1" x14ac:dyDescent="0.15"/>
    <row r="103" ht="15.75" customHeight="1" x14ac:dyDescent="0.15"/>
    <row r="104" ht="15.75" customHeight="1" x14ac:dyDescent="0.15"/>
    <row r="105" ht="15.75" customHeight="1" x14ac:dyDescent="0.15"/>
    <row r="106" ht="15.75" customHeight="1" x14ac:dyDescent="0.15"/>
    <row r="107" ht="15.75" customHeight="1" x14ac:dyDescent="0.15"/>
    <row r="108" ht="15.75" customHeight="1" x14ac:dyDescent="0.15"/>
    <row r="109" ht="15.75" customHeight="1" x14ac:dyDescent="0.15"/>
    <row r="110" ht="15.75" customHeight="1" x14ac:dyDescent="0.15"/>
    <row r="111" ht="15.75" customHeight="1" x14ac:dyDescent="0.15"/>
    <row r="112" ht="15.75" customHeight="1" x14ac:dyDescent="0.15"/>
    <row r="113" ht="15.75" customHeight="1" x14ac:dyDescent="0.15"/>
    <row r="114" ht="15.75" customHeight="1" x14ac:dyDescent="0.15"/>
    <row r="115" ht="15.75" customHeight="1" x14ac:dyDescent="0.15"/>
    <row r="116" ht="15.75" customHeight="1" x14ac:dyDescent="0.15"/>
    <row r="117" ht="15.75" customHeight="1" x14ac:dyDescent="0.15"/>
    <row r="118" ht="15.75" customHeight="1" x14ac:dyDescent="0.15"/>
    <row r="119" ht="15.75" customHeight="1" x14ac:dyDescent="0.15"/>
    <row r="120" ht="15.75" customHeight="1" x14ac:dyDescent="0.15"/>
    <row r="121" ht="15.75" customHeight="1" x14ac:dyDescent="0.15"/>
    <row r="122" ht="15.75" customHeight="1" x14ac:dyDescent="0.15"/>
    <row r="123" ht="15.75" customHeight="1" x14ac:dyDescent="0.15"/>
    <row r="124" ht="15.75" customHeight="1" x14ac:dyDescent="0.15"/>
    <row r="125" ht="15.75" customHeight="1" x14ac:dyDescent="0.15"/>
    <row r="126" ht="15.75" customHeight="1" x14ac:dyDescent="0.15"/>
    <row r="127" ht="15.75" customHeight="1" x14ac:dyDescent="0.15"/>
    <row r="128"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row r="138" ht="15.75" customHeight="1" x14ac:dyDescent="0.15"/>
    <row r="139" ht="15.75" customHeight="1" x14ac:dyDescent="0.15"/>
    <row r="140" ht="15.75" customHeight="1" x14ac:dyDescent="0.15"/>
    <row r="141" ht="15.75" customHeight="1" x14ac:dyDescent="0.15"/>
    <row r="142" ht="15.75" customHeight="1" x14ac:dyDescent="0.15"/>
    <row r="143" ht="15.75" customHeight="1" x14ac:dyDescent="0.15"/>
    <row r="144" ht="15.75" customHeight="1" x14ac:dyDescent="0.15"/>
    <row r="145" ht="15.75" customHeight="1" x14ac:dyDescent="0.15"/>
    <row r="146" ht="15.75" customHeight="1" x14ac:dyDescent="0.15"/>
    <row r="147" ht="15.75" customHeight="1" x14ac:dyDescent="0.15"/>
    <row r="148" ht="15.75" customHeight="1" x14ac:dyDescent="0.15"/>
    <row r="149" ht="15.75" customHeight="1" x14ac:dyDescent="0.15"/>
    <row r="150" ht="15.75" customHeight="1" x14ac:dyDescent="0.15"/>
    <row r="151" ht="15.75" customHeight="1" x14ac:dyDescent="0.15"/>
    <row r="152" ht="15.75" customHeight="1" x14ac:dyDescent="0.15"/>
    <row r="153" ht="15.75" customHeight="1" x14ac:dyDescent="0.15"/>
    <row r="154" ht="15.75" customHeight="1" x14ac:dyDescent="0.15"/>
    <row r="155" ht="15.75" customHeight="1" x14ac:dyDescent="0.15"/>
    <row r="156" ht="15.75" customHeight="1" x14ac:dyDescent="0.15"/>
    <row r="157" ht="15.75" customHeight="1" x14ac:dyDescent="0.15"/>
    <row r="158" ht="15.75" customHeight="1" x14ac:dyDescent="0.15"/>
    <row r="159" ht="15.75" customHeight="1" x14ac:dyDescent="0.15"/>
    <row r="160" ht="15.75" customHeight="1" x14ac:dyDescent="0.15"/>
    <row r="161" ht="15.75" customHeight="1" x14ac:dyDescent="0.15"/>
    <row r="162" ht="15.75" customHeight="1" x14ac:dyDescent="0.15"/>
    <row r="163" ht="15.75" customHeight="1" x14ac:dyDescent="0.15"/>
    <row r="164" ht="15.75" customHeight="1" x14ac:dyDescent="0.15"/>
    <row r="165" ht="15.75" customHeight="1" x14ac:dyDescent="0.15"/>
    <row r="166" ht="15.75" customHeight="1" x14ac:dyDescent="0.15"/>
    <row r="167" ht="15.75" customHeight="1" x14ac:dyDescent="0.15"/>
    <row r="168" ht="15.75" customHeight="1" x14ac:dyDescent="0.15"/>
    <row r="169" ht="15.75" customHeight="1" x14ac:dyDescent="0.15"/>
    <row r="170" ht="15.75" customHeight="1" x14ac:dyDescent="0.15"/>
    <row r="171" ht="15.75" customHeight="1" x14ac:dyDescent="0.15"/>
    <row r="172" ht="15.75" customHeight="1" x14ac:dyDescent="0.15"/>
    <row r="173" ht="15.75" customHeight="1" x14ac:dyDescent="0.15"/>
    <row r="174" ht="15.75" customHeight="1" x14ac:dyDescent="0.15"/>
    <row r="175" ht="15.75" customHeight="1" x14ac:dyDescent="0.15"/>
    <row r="176" ht="15.75" customHeight="1" x14ac:dyDescent="0.15"/>
    <row r="177" ht="15.75" customHeight="1" x14ac:dyDescent="0.15"/>
    <row r="178" ht="15.75" customHeight="1" x14ac:dyDescent="0.15"/>
    <row r="179" ht="15.75" customHeight="1" x14ac:dyDescent="0.15"/>
    <row r="180" ht="15.75" customHeight="1" x14ac:dyDescent="0.15"/>
    <row r="181" ht="15.75" customHeight="1" x14ac:dyDescent="0.15"/>
    <row r="182" ht="15.75" customHeight="1" x14ac:dyDescent="0.15"/>
    <row r="183" ht="15.75" customHeight="1" x14ac:dyDescent="0.15"/>
    <row r="184" ht="15.75" customHeight="1" x14ac:dyDescent="0.15"/>
    <row r="185" ht="15.75" customHeight="1" x14ac:dyDescent="0.15"/>
    <row r="186" ht="15.75" customHeight="1" x14ac:dyDescent="0.15"/>
    <row r="187" ht="15.75" customHeight="1" x14ac:dyDescent="0.15"/>
    <row r="188" ht="15.75" customHeight="1" x14ac:dyDescent="0.15"/>
    <row r="189" ht="15.75" customHeight="1" x14ac:dyDescent="0.15"/>
    <row r="190" ht="15.75" customHeight="1" x14ac:dyDescent="0.15"/>
    <row r="191" ht="15.75" customHeight="1" x14ac:dyDescent="0.15"/>
    <row r="192" ht="15.75" customHeight="1" x14ac:dyDescent="0.15"/>
    <row r="193" ht="15.75" customHeight="1" x14ac:dyDescent="0.15"/>
    <row r="194" ht="15.75" customHeight="1" x14ac:dyDescent="0.15"/>
    <row r="195" ht="15.75" customHeight="1" x14ac:dyDescent="0.15"/>
    <row r="196" ht="15.75" customHeight="1" x14ac:dyDescent="0.15"/>
    <row r="197" ht="15.75" customHeight="1" x14ac:dyDescent="0.15"/>
    <row r="198" ht="15.75" customHeight="1" x14ac:dyDescent="0.15"/>
    <row r="199" ht="15.75" customHeight="1" x14ac:dyDescent="0.15"/>
    <row r="200" ht="15.75" customHeight="1" x14ac:dyDescent="0.15"/>
    <row r="201" ht="15.75" customHeight="1" x14ac:dyDescent="0.15"/>
    <row r="202" ht="15.75" customHeight="1" x14ac:dyDescent="0.15"/>
    <row r="203" ht="15.75" customHeight="1" x14ac:dyDescent="0.15"/>
    <row r="204" ht="15.75" customHeight="1" x14ac:dyDescent="0.15"/>
    <row r="205" ht="15.75" customHeight="1" x14ac:dyDescent="0.15"/>
    <row r="206" ht="15.75" customHeight="1" x14ac:dyDescent="0.15"/>
    <row r="207" ht="15.75" customHeight="1" x14ac:dyDescent="0.15"/>
    <row r="208"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mergeCells count="1">
    <mergeCell ref="B2:E2"/>
  </mergeCells>
  <conditionalFormatting sqref="D16">
    <cfRule type="cellIs" dxfId="1" priority="1" operator="equal">
      <formula>"FALSE"</formula>
    </cfRule>
  </conditionalFormatting>
  <conditionalFormatting sqref="D16">
    <cfRule type="containsText" dxfId="0" priority="2" operator="containsText" text="TRUE">
      <formula>NOT(ISERROR(SEARCH(("TRUE"),(D16))))</formula>
    </cfRule>
  </conditionalFormatting>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dMeSheet">
                <anchor moveWithCells="1" sizeWithCells="1">
                  <from>
                    <xdr:col>5</xdr:col>
                    <xdr:colOff>203200</xdr:colOff>
                    <xdr:row>2</xdr:row>
                    <xdr:rowOff>101600</xdr:rowOff>
                  </from>
                  <to>
                    <xdr:col>7</xdr:col>
                    <xdr:colOff>520700</xdr:colOff>
                    <xdr:row>5</xdr:row>
                    <xdr:rowOff>0</xdr:rowOff>
                  </to>
                </anchor>
              </controlPr>
            </control>
          </mc:Choice>
        </mc:AlternateContent>
        <mc:AlternateContent xmlns:mc="http://schemas.openxmlformats.org/markup-compatibility/2006">
          <mc:Choice Requires="x14">
            <control shapeId="5122" r:id="rId4" name="Button 2">
              <controlPr defaultSize="0" print="0" autoFill="0" autoPict="0" macro="[0]!InputsSheet">
                <anchor moveWithCells="1" sizeWithCells="1">
                  <from>
                    <xdr:col>5</xdr:col>
                    <xdr:colOff>190500</xdr:colOff>
                    <xdr:row>6</xdr:row>
                    <xdr:rowOff>139700</xdr:rowOff>
                  </from>
                  <to>
                    <xdr:col>7</xdr:col>
                    <xdr:colOff>495300</xdr:colOff>
                    <xdr:row>11</xdr:row>
                    <xdr:rowOff>63500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G1000"/>
  <sheetViews>
    <sheetView workbookViewId="0">
      <selection activeCell="B1" sqref="B1"/>
    </sheetView>
  </sheetViews>
  <sheetFormatPr baseColWidth="10" defaultColWidth="12.6640625" defaultRowHeight="15" customHeight="1" x14ac:dyDescent="0.15"/>
  <cols>
    <col min="1" max="7" width="12.6640625" style="61"/>
    <col min="8" max="10" width="11" customWidth="1"/>
    <col min="11" max="11" width="15.6640625" customWidth="1"/>
    <col min="12" max="17" width="11" customWidth="1"/>
    <col min="18" max="18" width="13.5" customWidth="1"/>
    <col min="19" max="19" width="16.1640625" customWidth="1"/>
    <col min="20" max="20" width="15.83203125" customWidth="1"/>
    <col min="21" max="33" width="11" customWidth="1"/>
  </cols>
  <sheetData>
    <row r="1" spans="8:33" ht="14.25" customHeight="1" x14ac:dyDescent="0.15">
      <c r="H1" s="6"/>
      <c r="I1" s="92" t="s">
        <v>54</v>
      </c>
      <c r="J1" s="93"/>
      <c r="K1" s="93"/>
      <c r="L1" s="93"/>
      <c r="M1" s="6"/>
      <c r="N1" s="6"/>
      <c r="O1" s="6"/>
      <c r="P1" s="6"/>
      <c r="Q1" s="92" t="s">
        <v>46</v>
      </c>
      <c r="R1" s="93"/>
      <c r="S1" s="93"/>
      <c r="T1" s="93"/>
      <c r="U1" s="6"/>
      <c r="V1" s="6"/>
      <c r="W1" s="6"/>
      <c r="X1" s="6"/>
      <c r="Y1" s="6"/>
      <c r="Z1" s="6"/>
      <c r="AA1" s="6"/>
      <c r="AB1" s="6"/>
      <c r="AC1" s="6"/>
      <c r="AD1" s="6"/>
      <c r="AE1" s="6"/>
      <c r="AF1" s="6"/>
      <c r="AG1" s="6"/>
    </row>
    <row r="2" spans="8:33" ht="14.25" customHeight="1" x14ac:dyDescent="0.15">
      <c r="H2" s="6"/>
      <c r="I2" s="52" t="s">
        <v>55</v>
      </c>
      <c r="J2" s="52" t="s">
        <v>48</v>
      </c>
      <c r="K2" s="52" t="s">
        <v>57</v>
      </c>
      <c r="L2" s="94" t="s">
        <v>56</v>
      </c>
      <c r="M2" s="6"/>
      <c r="N2" s="6"/>
      <c r="O2" s="6"/>
      <c r="P2" s="6"/>
      <c r="Q2" s="53" t="s">
        <v>47</v>
      </c>
      <c r="R2" s="53" t="s">
        <v>46</v>
      </c>
      <c r="S2" s="53" t="s">
        <v>48</v>
      </c>
      <c r="T2" s="53" t="s">
        <v>49</v>
      </c>
    </row>
    <row r="3" spans="8:33" ht="14.25" customHeight="1" x14ac:dyDescent="0.15">
      <c r="H3" s="6"/>
      <c r="I3" s="64">
        <v>42005</v>
      </c>
      <c r="J3" s="63">
        <v>29.290001</v>
      </c>
      <c r="K3" s="6"/>
      <c r="L3" s="65"/>
      <c r="M3" s="6"/>
      <c r="N3" s="6"/>
      <c r="O3" s="6"/>
      <c r="P3" s="6"/>
      <c r="Q3" s="53">
        <v>1980</v>
      </c>
      <c r="R3" s="54">
        <v>0</v>
      </c>
      <c r="S3" s="54">
        <v>0.1065217869786116</v>
      </c>
      <c r="T3" s="55">
        <f t="shared" ref="T3:T44" si="0">R3/S3</f>
        <v>0</v>
      </c>
    </row>
    <row r="4" spans="8:33" ht="14.25" customHeight="1" x14ac:dyDescent="0.15">
      <c r="H4" s="6"/>
      <c r="I4" s="64">
        <v>42036</v>
      </c>
      <c r="J4" s="63">
        <v>32.115001999999997</v>
      </c>
      <c r="K4" s="6"/>
      <c r="L4" s="65">
        <v>9.6449330950859197E-2</v>
      </c>
      <c r="M4" s="6"/>
      <c r="N4" s="6"/>
      <c r="O4" s="6"/>
      <c r="P4" s="6"/>
      <c r="Q4" s="53">
        <v>1981</v>
      </c>
      <c r="R4" s="54">
        <v>0</v>
      </c>
      <c r="S4" s="54">
        <v>8.5080542804106415E-2</v>
      </c>
      <c r="T4" s="55">
        <f t="shared" si="0"/>
        <v>0</v>
      </c>
    </row>
    <row r="5" spans="8:33" ht="14.25" customHeight="1" x14ac:dyDescent="0.15">
      <c r="H5" s="6"/>
      <c r="I5" s="64">
        <v>42064</v>
      </c>
      <c r="J5" s="63">
        <v>31.107500000000002</v>
      </c>
      <c r="K5" s="6"/>
      <c r="L5" s="65">
        <v>-3.137169351569697E-2</v>
      </c>
      <c r="M5" s="6"/>
      <c r="N5" s="6"/>
      <c r="O5" s="6"/>
      <c r="P5" s="6"/>
      <c r="Q5" s="53">
        <v>1982</v>
      </c>
      <c r="R5" s="54">
        <v>0</v>
      </c>
      <c r="S5" s="54">
        <v>6.6983272847921951E-2</v>
      </c>
      <c r="T5" s="55">
        <f t="shared" si="0"/>
        <v>0</v>
      </c>
    </row>
    <row r="6" spans="8:33" ht="14.25" customHeight="1" x14ac:dyDescent="0.15">
      <c r="H6" s="6"/>
      <c r="I6" s="64">
        <v>42095</v>
      </c>
      <c r="J6" s="63">
        <v>31.287500000000001</v>
      </c>
      <c r="K6" s="6"/>
      <c r="L6" s="65">
        <v>5.7863859197942527E-3</v>
      </c>
      <c r="M6" s="6"/>
      <c r="N6" s="6"/>
      <c r="O6" s="6"/>
      <c r="P6" s="6"/>
      <c r="Q6" s="53">
        <v>1983</v>
      </c>
      <c r="R6" s="54">
        <v>0</v>
      </c>
      <c r="S6" s="54">
        <v>0.1311105452625177</v>
      </c>
      <c r="T6" s="55">
        <f t="shared" si="0"/>
        <v>0</v>
      </c>
    </row>
    <row r="7" spans="8:33" ht="14.25" customHeight="1" x14ac:dyDescent="0.15">
      <c r="H7" s="6"/>
      <c r="I7" s="64">
        <v>42125</v>
      </c>
      <c r="J7" s="63">
        <v>32.57</v>
      </c>
      <c r="K7" s="6"/>
      <c r="L7" s="65">
        <v>4.099081102676784E-2</v>
      </c>
      <c r="M7" s="6"/>
      <c r="N7" s="6"/>
      <c r="O7" s="6"/>
      <c r="P7" s="6"/>
      <c r="Q7" s="53">
        <v>1984</v>
      </c>
      <c r="R7" s="54">
        <v>0</v>
      </c>
      <c r="S7" s="54">
        <v>9.3783493393023498E-2</v>
      </c>
      <c r="T7" s="55">
        <f t="shared" si="0"/>
        <v>0</v>
      </c>
    </row>
    <row r="8" spans="8:33" ht="14.25" customHeight="1" x14ac:dyDescent="0.15">
      <c r="H8" s="6"/>
      <c r="I8" s="64">
        <v>42156</v>
      </c>
      <c r="J8" s="63">
        <v>31.357500000000002</v>
      </c>
      <c r="K8" s="6"/>
      <c r="L8" s="65">
        <v>-3.7227509978507788E-2</v>
      </c>
      <c r="M8" s="6"/>
      <c r="N8" s="6"/>
      <c r="O8" s="6"/>
      <c r="P8" s="6"/>
      <c r="Q8" s="53">
        <v>1985</v>
      </c>
      <c r="R8" s="54">
        <v>0</v>
      </c>
      <c r="S8" s="54">
        <v>7.0725643312528966E-2</v>
      </c>
      <c r="T8" s="55">
        <f t="shared" si="0"/>
        <v>0</v>
      </c>
    </row>
    <row r="9" spans="8:33" ht="14.25" customHeight="1" x14ac:dyDescent="0.15">
      <c r="H9" s="6"/>
      <c r="I9" s="64">
        <v>42186</v>
      </c>
      <c r="J9" s="63">
        <v>30.325001</v>
      </c>
      <c r="K9" s="6"/>
      <c r="L9" s="65">
        <v>-3.2926700151478958E-2</v>
      </c>
      <c r="M9" s="6"/>
      <c r="N9" s="6"/>
      <c r="O9" s="6"/>
      <c r="P9" s="6"/>
      <c r="Q9" s="53">
        <v>1986</v>
      </c>
      <c r="R9" s="54">
        <v>0</v>
      </c>
      <c r="S9" s="54">
        <v>0.1135837142999935</v>
      </c>
      <c r="T9" s="55">
        <f t="shared" si="0"/>
        <v>0</v>
      </c>
    </row>
    <row r="10" spans="8:33" ht="14.25" customHeight="1" x14ac:dyDescent="0.15">
      <c r="H10" s="6"/>
      <c r="I10" s="64">
        <v>42217</v>
      </c>
      <c r="J10" s="63">
        <v>28.190000999999999</v>
      </c>
      <c r="K10" s="6"/>
      <c r="L10" s="65">
        <v>-7.0403954809432706E-2</v>
      </c>
      <c r="M10" s="6"/>
      <c r="N10" s="6"/>
      <c r="O10" s="6"/>
      <c r="P10" s="6"/>
      <c r="Q10" s="53">
        <v>1987</v>
      </c>
      <c r="R10" s="54">
        <v>1.786E-3</v>
      </c>
      <c r="S10" s="54">
        <v>0.27309671821801562</v>
      </c>
      <c r="T10" s="55">
        <f t="shared" si="0"/>
        <v>6.5398076243970817E-3</v>
      </c>
    </row>
    <row r="11" spans="8:33" ht="14.25" customHeight="1" x14ac:dyDescent="0.15">
      <c r="H11" s="6"/>
      <c r="I11" s="64">
        <v>42248</v>
      </c>
      <c r="J11" s="63">
        <v>27.575001</v>
      </c>
      <c r="K11" s="65"/>
      <c r="L11" s="65">
        <v>-2.1816246122162198E-2</v>
      </c>
      <c r="M11" s="6"/>
      <c r="N11" s="6"/>
      <c r="O11" s="6"/>
      <c r="P11" s="6"/>
      <c r="Q11" s="53">
        <v>1988</v>
      </c>
      <c r="R11" s="54">
        <v>3.0349999999999999E-3</v>
      </c>
      <c r="S11" s="54">
        <v>0.29331577295371197</v>
      </c>
      <c r="T11" s="55">
        <f t="shared" si="0"/>
        <v>1.0347210344119312E-2</v>
      </c>
    </row>
    <row r="12" spans="8:33" ht="14.25" customHeight="1" x14ac:dyDescent="0.15">
      <c r="H12" s="6"/>
      <c r="I12" s="64">
        <v>42278</v>
      </c>
      <c r="J12" s="63">
        <v>29.875</v>
      </c>
      <c r="K12" s="65"/>
      <c r="L12" s="65">
        <v>8.3408845569942131E-2</v>
      </c>
      <c r="M12" s="6"/>
      <c r="N12" s="6"/>
      <c r="O12" s="6"/>
      <c r="P12" s="6"/>
      <c r="Q12" s="53">
        <v>1989</v>
      </c>
      <c r="R12" s="54">
        <v>3.6610000000000002E-3</v>
      </c>
      <c r="S12" s="54">
        <v>0.29696938904031872</v>
      </c>
      <c r="T12" s="55">
        <f t="shared" si="0"/>
        <v>1.2327869925687716E-2</v>
      </c>
    </row>
    <row r="13" spans="8:33" ht="14.25" customHeight="1" x14ac:dyDescent="0.15">
      <c r="H13" s="6"/>
      <c r="I13" s="64">
        <v>42309</v>
      </c>
      <c r="J13" s="63">
        <v>29.575001</v>
      </c>
      <c r="K13" s="65"/>
      <c r="L13" s="65">
        <v>-1.0041807531380743E-2</v>
      </c>
      <c r="M13" s="6"/>
      <c r="N13" s="6"/>
      <c r="O13" s="6"/>
      <c r="P13" s="6"/>
      <c r="Q13" s="53">
        <v>1990</v>
      </c>
      <c r="R13" s="54">
        <v>4.0169999999999997E-3</v>
      </c>
      <c r="S13" s="54">
        <v>0.27066121088421857</v>
      </c>
      <c r="T13" s="55">
        <f t="shared" si="0"/>
        <v>1.4841432161176438E-2</v>
      </c>
    </row>
    <row r="14" spans="8:33" ht="14.25" customHeight="1" x14ac:dyDescent="0.15">
      <c r="H14" s="6"/>
      <c r="I14" s="64">
        <v>42339</v>
      </c>
      <c r="J14" s="63">
        <v>26.315000999999999</v>
      </c>
      <c r="K14" s="65"/>
      <c r="L14" s="65">
        <v>-0.11022822957808188</v>
      </c>
      <c r="M14" s="6"/>
      <c r="N14" s="6"/>
      <c r="O14" s="6"/>
      <c r="P14" s="6"/>
      <c r="Q14" s="53">
        <v>1991</v>
      </c>
      <c r="R14" s="54">
        <v>4.2839999999999996E-3</v>
      </c>
      <c r="S14" s="54">
        <v>0.38236234039657202</v>
      </c>
      <c r="T14" s="55">
        <f t="shared" si="0"/>
        <v>1.1204032268336871E-2</v>
      </c>
    </row>
    <row r="15" spans="8:33" ht="14.25" customHeight="1" x14ac:dyDescent="0.15">
      <c r="H15" s="6"/>
      <c r="I15" s="64">
        <v>42370</v>
      </c>
      <c r="J15" s="63">
        <v>24.334999</v>
      </c>
      <c r="K15" s="65">
        <v>-0.16917042781937769</v>
      </c>
      <c r="L15" s="65">
        <v>-7.5242330410703731E-2</v>
      </c>
      <c r="M15" s="6"/>
      <c r="N15" s="6"/>
      <c r="O15" s="6"/>
      <c r="P15" s="6"/>
      <c r="Q15" s="53">
        <v>1992</v>
      </c>
      <c r="R15" s="54">
        <v>4.2839999999999996E-3</v>
      </c>
      <c r="S15" s="54">
        <v>0.40267600705773809</v>
      </c>
      <c r="T15" s="55">
        <f t="shared" si="0"/>
        <v>1.0638826065903981E-2</v>
      </c>
    </row>
    <row r="16" spans="8:33" ht="14.25" customHeight="1" x14ac:dyDescent="0.15">
      <c r="H16" s="6"/>
      <c r="I16" s="64">
        <v>42401</v>
      </c>
      <c r="J16" s="63">
        <v>24.172501</v>
      </c>
      <c r="K16" s="65"/>
      <c r="L16" s="65">
        <v>-6.6775429084669109E-3</v>
      </c>
      <c r="M16" s="6"/>
      <c r="N16" s="6"/>
      <c r="O16" s="6"/>
      <c r="P16" s="6"/>
      <c r="Q16" s="53">
        <v>1993</v>
      </c>
      <c r="R16" s="54">
        <v>4.2839999999999996E-3</v>
      </c>
      <c r="S16" s="54">
        <v>0.30420493967683893</v>
      </c>
      <c r="T16" s="55">
        <f t="shared" si="0"/>
        <v>1.408261155966419E-2</v>
      </c>
    </row>
    <row r="17" spans="8:20" ht="14.25" customHeight="1" x14ac:dyDescent="0.15">
      <c r="H17" s="6"/>
      <c r="I17" s="64">
        <v>42430</v>
      </c>
      <c r="J17" s="63">
        <v>27.247499000000001</v>
      </c>
      <c r="K17" s="65"/>
      <c r="L17" s="65">
        <v>0.12721058528449336</v>
      </c>
      <c r="M17" s="6"/>
      <c r="N17" s="6"/>
      <c r="O17" s="6"/>
      <c r="P17" s="6"/>
      <c r="Q17" s="53">
        <v>1994</v>
      </c>
      <c r="R17" s="54">
        <v>4.2839999999999996E-3</v>
      </c>
      <c r="S17" s="54">
        <v>0.25665368258006988</v>
      </c>
      <c r="T17" s="55">
        <f t="shared" si="0"/>
        <v>1.6691753482490915E-2</v>
      </c>
    </row>
    <row r="18" spans="8:20" ht="14.25" customHeight="1" x14ac:dyDescent="0.15">
      <c r="H18" s="6"/>
      <c r="I18" s="64">
        <v>42461</v>
      </c>
      <c r="J18" s="63">
        <v>23.434999000000001</v>
      </c>
      <c r="K18" s="65"/>
      <c r="L18" s="65">
        <v>-0.13992109881350945</v>
      </c>
      <c r="M18" s="6"/>
      <c r="N18" s="6"/>
      <c r="O18" s="6"/>
      <c r="P18" s="6"/>
      <c r="Q18" s="53">
        <v>1995</v>
      </c>
      <c r="R18" s="54">
        <v>4.2839999999999996E-3</v>
      </c>
      <c r="S18" s="54">
        <v>0.30893711893567971</v>
      </c>
      <c r="T18" s="55">
        <f t="shared" si="0"/>
        <v>1.3866899564412402E-2</v>
      </c>
    </row>
    <row r="19" spans="8:20" ht="14.25" customHeight="1" x14ac:dyDescent="0.15">
      <c r="H19" s="6"/>
      <c r="I19" s="64">
        <v>42491</v>
      </c>
      <c r="J19" s="63">
        <v>24.965</v>
      </c>
      <c r="K19" s="65"/>
      <c r="L19" s="65">
        <v>6.5287009399914997E-2</v>
      </c>
      <c r="M19" s="6"/>
      <c r="N19" s="6"/>
      <c r="O19" s="6"/>
      <c r="P19" s="6"/>
      <c r="Q19" s="53">
        <v>1996</v>
      </c>
      <c r="R19" s="54">
        <v>0</v>
      </c>
      <c r="S19" s="54">
        <v>0.19103815846555819</v>
      </c>
      <c r="T19" s="55">
        <f t="shared" si="0"/>
        <v>0</v>
      </c>
    </row>
    <row r="20" spans="8:20" ht="14.25" customHeight="1" x14ac:dyDescent="0.15">
      <c r="H20" s="6"/>
      <c r="I20" s="64">
        <v>42522</v>
      </c>
      <c r="J20" s="63">
        <v>23.9</v>
      </c>
      <c r="K20" s="65"/>
      <c r="L20" s="65">
        <v>-4.265972361305833E-2</v>
      </c>
      <c r="M20" s="6"/>
      <c r="N20" s="6"/>
      <c r="O20" s="6"/>
      <c r="P20" s="6"/>
      <c r="Q20" s="53">
        <v>1997</v>
      </c>
      <c r="R20" s="54">
        <v>0</v>
      </c>
      <c r="S20" s="54">
        <v>0.13773724283625491</v>
      </c>
      <c r="T20" s="55">
        <f t="shared" si="0"/>
        <v>0</v>
      </c>
    </row>
    <row r="21" spans="8:20" ht="14.25" customHeight="1" x14ac:dyDescent="0.15">
      <c r="H21" s="6"/>
      <c r="I21" s="64">
        <v>42552</v>
      </c>
      <c r="J21" s="63">
        <v>26.052499999999998</v>
      </c>
      <c r="K21" s="65"/>
      <c r="L21" s="65">
        <v>9.0062761506276151E-2</v>
      </c>
      <c r="M21" s="6"/>
      <c r="N21" s="6"/>
      <c r="O21" s="6"/>
      <c r="P21" s="6"/>
      <c r="Q21" s="53">
        <v>1998</v>
      </c>
      <c r="R21" s="54">
        <v>0</v>
      </c>
      <c r="S21" s="54">
        <v>0.23431682669454151</v>
      </c>
      <c r="T21" s="55">
        <f t="shared" si="0"/>
        <v>0</v>
      </c>
    </row>
    <row r="22" spans="8:20" ht="14.25" customHeight="1" x14ac:dyDescent="0.15">
      <c r="H22" s="6"/>
      <c r="I22" s="64">
        <v>42583</v>
      </c>
      <c r="J22" s="63">
        <v>26.524999999999999</v>
      </c>
      <c r="K22" s="65"/>
      <c r="L22" s="65">
        <v>1.8136455234622404E-2</v>
      </c>
      <c r="M22" s="6"/>
      <c r="N22" s="6"/>
      <c r="O22" s="6"/>
      <c r="P22" s="6"/>
      <c r="Q22" s="53">
        <v>1999</v>
      </c>
      <c r="R22" s="54">
        <v>0</v>
      </c>
      <c r="S22" s="54">
        <v>0.44287906457034371</v>
      </c>
      <c r="T22" s="55">
        <f t="shared" si="0"/>
        <v>0</v>
      </c>
    </row>
    <row r="23" spans="8:20" ht="14.25" customHeight="1" x14ac:dyDescent="0.15">
      <c r="H23" s="6"/>
      <c r="I23" s="64">
        <v>42614</v>
      </c>
      <c r="J23" s="63">
        <v>28.262501</v>
      </c>
      <c r="K23" s="65"/>
      <c r="L23" s="65">
        <v>6.5504278982092434E-2</v>
      </c>
      <c r="M23" s="6"/>
      <c r="N23" s="6"/>
      <c r="O23" s="6"/>
      <c r="P23" s="6"/>
      <c r="Q23" s="53">
        <v>2000</v>
      </c>
      <c r="R23" s="54">
        <v>0</v>
      </c>
      <c r="S23" s="54">
        <v>0.70087427019126836</v>
      </c>
      <c r="T23" s="55">
        <f t="shared" si="0"/>
        <v>0</v>
      </c>
    </row>
    <row r="24" spans="8:20" ht="14.25" customHeight="1" x14ac:dyDescent="0.15">
      <c r="H24" s="6"/>
      <c r="I24" s="64">
        <v>42644</v>
      </c>
      <c r="J24" s="63">
        <v>28.385000000000002</v>
      </c>
      <c r="K24" s="65"/>
      <c r="L24" s="65">
        <v>4.3343297891436164E-3</v>
      </c>
      <c r="M24" s="6"/>
      <c r="N24" s="6"/>
      <c r="O24" s="6"/>
      <c r="P24" s="6"/>
      <c r="Q24" s="53">
        <v>2001</v>
      </c>
      <c r="R24" s="54">
        <v>0</v>
      </c>
      <c r="S24" s="54">
        <v>0.31001324428906363</v>
      </c>
      <c r="T24" s="55">
        <f t="shared" si="0"/>
        <v>0</v>
      </c>
    </row>
    <row r="25" spans="8:20" ht="14.25" customHeight="1" x14ac:dyDescent="0.15">
      <c r="H25" s="6"/>
      <c r="I25" s="64">
        <v>42675</v>
      </c>
      <c r="J25" s="63">
        <v>27.629999000000002</v>
      </c>
      <c r="K25" s="65"/>
      <c r="L25" s="65">
        <v>-2.6598590805002643E-2</v>
      </c>
      <c r="M25" s="6"/>
      <c r="N25" s="6"/>
      <c r="O25" s="6"/>
      <c r="P25" s="6"/>
      <c r="Q25" s="53">
        <v>2002</v>
      </c>
      <c r="R25" s="54">
        <v>0</v>
      </c>
      <c r="S25" s="54">
        <v>0.2934543395207988</v>
      </c>
      <c r="T25" s="55">
        <f t="shared" si="0"/>
        <v>0</v>
      </c>
    </row>
    <row r="26" spans="8:20" ht="14.25" customHeight="1" x14ac:dyDescent="0.15">
      <c r="H26" s="6"/>
      <c r="I26" s="64">
        <v>42705</v>
      </c>
      <c r="J26" s="63">
        <v>28.954999999999998</v>
      </c>
      <c r="K26" s="65"/>
      <c r="L26" s="65">
        <v>4.7955159173186969E-2</v>
      </c>
      <c r="M26" s="6"/>
      <c r="N26" s="6"/>
      <c r="O26" s="6"/>
      <c r="P26" s="6"/>
      <c r="Q26" s="53">
        <v>2003</v>
      </c>
      <c r="R26" s="54">
        <v>0</v>
      </c>
      <c r="S26" s="54">
        <v>0.28433637255950578</v>
      </c>
      <c r="T26" s="55">
        <f t="shared" si="0"/>
        <v>0</v>
      </c>
    </row>
    <row r="27" spans="8:20" ht="14.25" customHeight="1" x14ac:dyDescent="0.15">
      <c r="H27" s="6"/>
      <c r="I27" s="64">
        <v>42736</v>
      </c>
      <c r="J27" s="63">
        <v>30.337499999999999</v>
      </c>
      <c r="K27" s="65">
        <v>0.24666123881903587</v>
      </c>
      <c r="L27" s="65">
        <v>4.7746503194612343E-2</v>
      </c>
      <c r="M27" s="6"/>
      <c r="N27" s="6"/>
      <c r="O27" s="6"/>
      <c r="P27" s="6"/>
      <c r="Q27" s="53">
        <v>2004</v>
      </c>
      <c r="R27" s="54">
        <v>0</v>
      </c>
      <c r="S27" s="54">
        <v>0.54471460481484735</v>
      </c>
      <c r="T27" s="55">
        <f t="shared" si="0"/>
        <v>0</v>
      </c>
    </row>
    <row r="28" spans="8:20" ht="14.25" customHeight="1" x14ac:dyDescent="0.15">
      <c r="H28" s="6"/>
      <c r="I28" s="64">
        <v>42767</v>
      </c>
      <c r="J28" s="63">
        <v>34.247501</v>
      </c>
      <c r="K28" s="65"/>
      <c r="L28" s="65">
        <v>0.12888342810053569</v>
      </c>
      <c r="M28" s="6"/>
      <c r="N28" s="6"/>
      <c r="O28" s="6"/>
      <c r="P28" s="6"/>
      <c r="Q28" s="53">
        <v>2005</v>
      </c>
      <c r="R28" s="54">
        <v>0</v>
      </c>
      <c r="S28" s="54">
        <v>1.431314524913591</v>
      </c>
      <c r="T28" s="55">
        <f t="shared" si="0"/>
        <v>0</v>
      </c>
    </row>
    <row r="29" spans="8:20" ht="14.25" customHeight="1" x14ac:dyDescent="0.15">
      <c r="H29" s="6"/>
      <c r="I29" s="64">
        <v>42795</v>
      </c>
      <c r="J29" s="63">
        <v>35.915000999999997</v>
      </c>
      <c r="K29" s="65"/>
      <c r="L29" s="65">
        <v>4.8689683956794301E-2</v>
      </c>
      <c r="M29" s="6"/>
      <c r="N29" s="6"/>
      <c r="O29" s="6"/>
      <c r="P29" s="6"/>
      <c r="Q29" s="53">
        <v>2006</v>
      </c>
      <c r="R29" s="54">
        <v>0</v>
      </c>
      <c r="S29" s="54">
        <v>2.1713991070173648</v>
      </c>
      <c r="T29" s="55">
        <f t="shared" si="0"/>
        <v>0</v>
      </c>
    </row>
    <row r="30" spans="8:20" ht="14.25" customHeight="1" x14ac:dyDescent="0.15">
      <c r="H30" s="6"/>
      <c r="I30" s="64">
        <v>42826</v>
      </c>
      <c r="J30" s="63">
        <v>35.912497999999999</v>
      </c>
      <c r="K30" s="65"/>
      <c r="L30" s="65">
        <v>-6.9692327169843527E-5</v>
      </c>
      <c r="M30" s="6"/>
      <c r="N30" s="6"/>
      <c r="O30" s="6"/>
      <c r="P30" s="6"/>
      <c r="Q30" s="53">
        <v>2007</v>
      </c>
      <c r="R30" s="54">
        <v>0</v>
      </c>
      <c r="S30" s="54">
        <v>3.9335028507794991</v>
      </c>
      <c r="T30" s="55">
        <f t="shared" si="0"/>
        <v>0</v>
      </c>
    </row>
    <row r="31" spans="8:20" ht="14.25" customHeight="1" x14ac:dyDescent="0.15">
      <c r="H31" s="6"/>
      <c r="I31" s="64">
        <v>42856</v>
      </c>
      <c r="J31" s="63">
        <v>38.189999</v>
      </c>
      <c r="K31" s="65"/>
      <c r="L31" s="65">
        <v>6.3418061311134657E-2</v>
      </c>
      <c r="M31" s="6"/>
      <c r="N31" s="6"/>
      <c r="O31" s="6"/>
      <c r="P31" s="6"/>
      <c r="Q31" s="53">
        <v>2008</v>
      </c>
      <c r="R31" s="54">
        <v>0</v>
      </c>
      <c r="S31" s="54">
        <v>4.3537681649324922</v>
      </c>
      <c r="T31" s="55">
        <f t="shared" si="0"/>
        <v>0</v>
      </c>
    </row>
    <row r="32" spans="8:20" ht="14.25" customHeight="1" x14ac:dyDescent="0.15">
      <c r="H32" s="6"/>
      <c r="I32" s="64">
        <v>42887</v>
      </c>
      <c r="J32" s="63">
        <v>36.005001</v>
      </c>
      <c r="K32" s="65"/>
      <c r="L32" s="65">
        <v>-5.7213879476666132E-2</v>
      </c>
      <c r="M32" s="6"/>
      <c r="N32" s="6"/>
      <c r="O32" s="6"/>
      <c r="P32" s="6"/>
      <c r="Q32" s="53">
        <v>2009</v>
      </c>
      <c r="R32" s="54">
        <v>0</v>
      </c>
      <c r="S32" s="54">
        <v>4.5020362763177779</v>
      </c>
      <c r="T32" s="55">
        <f t="shared" si="0"/>
        <v>0</v>
      </c>
    </row>
    <row r="33" spans="8:20" ht="14.25" customHeight="1" x14ac:dyDescent="0.15">
      <c r="H33" s="6"/>
      <c r="I33" s="64">
        <v>42917</v>
      </c>
      <c r="J33" s="63">
        <v>37.182499</v>
      </c>
      <c r="K33" s="65"/>
      <c r="L33" s="65">
        <v>3.2703734683967929E-2</v>
      </c>
      <c r="M33" s="6"/>
      <c r="N33" s="6"/>
      <c r="O33" s="6"/>
      <c r="P33" s="6"/>
      <c r="Q33" s="53">
        <v>2010</v>
      </c>
      <c r="R33" s="54">
        <v>0</v>
      </c>
      <c r="S33" s="54">
        <v>7.9680358360684096</v>
      </c>
      <c r="T33" s="55">
        <f t="shared" si="0"/>
        <v>0</v>
      </c>
    </row>
    <row r="34" spans="8:20" ht="14.25" customHeight="1" x14ac:dyDescent="0.15">
      <c r="H34" s="6"/>
      <c r="I34" s="64">
        <v>42948</v>
      </c>
      <c r="J34" s="63">
        <v>41</v>
      </c>
      <c r="K34" s="65"/>
      <c r="L34" s="65">
        <v>0.10266929611159271</v>
      </c>
      <c r="M34" s="6"/>
      <c r="N34" s="6"/>
      <c r="O34" s="6"/>
      <c r="P34" s="6"/>
      <c r="Q34" s="53">
        <v>2011</v>
      </c>
      <c r="R34" s="54">
        <v>0</v>
      </c>
      <c r="S34" s="54">
        <v>11.162145970359679</v>
      </c>
      <c r="T34" s="55">
        <f t="shared" si="0"/>
        <v>0</v>
      </c>
    </row>
    <row r="35" spans="8:20" ht="14.25" customHeight="1" x14ac:dyDescent="0.15">
      <c r="H35" s="6"/>
      <c r="I35" s="64">
        <v>42979</v>
      </c>
      <c r="J35" s="63">
        <v>38.529998999999997</v>
      </c>
      <c r="K35" s="65"/>
      <c r="L35" s="65">
        <v>-6.0243926829268379E-2</v>
      </c>
      <c r="M35" s="6"/>
      <c r="N35" s="6"/>
      <c r="O35" s="6"/>
      <c r="P35" s="6"/>
      <c r="Q35" s="53">
        <v>2012</v>
      </c>
      <c r="R35" s="54">
        <v>0.18928600000000001</v>
      </c>
      <c r="S35" s="54">
        <v>17.707353351593021</v>
      </c>
      <c r="T35" s="55">
        <f t="shared" si="0"/>
        <v>1.0689683333335137E-2</v>
      </c>
    </row>
    <row r="36" spans="8:20" ht="14.25" customHeight="1" x14ac:dyDescent="0.15">
      <c r="H36" s="6"/>
      <c r="I36" s="64">
        <v>43009</v>
      </c>
      <c r="J36" s="63">
        <v>42.259998000000003</v>
      </c>
      <c r="K36" s="65"/>
      <c r="L36" s="65">
        <v>9.6807658884185452E-2</v>
      </c>
      <c r="M36" s="6"/>
      <c r="N36" s="6"/>
      <c r="O36" s="6"/>
      <c r="P36" s="6"/>
      <c r="Q36" s="53">
        <v>2013</v>
      </c>
      <c r="R36" s="54">
        <v>0.42143000000000003</v>
      </c>
      <c r="S36" s="54">
        <v>14.82077531965952</v>
      </c>
      <c r="T36" s="55">
        <f t="shared" si="0"/>
        <v>2.8435084596483959E-2</v>
      </c>
    </row>
    <row r="37" spans="8:20" ht="14.25" customHeight="1" x14ac:dyDescent="0.15">
      <c r="H37" s="6"/>
      <c r="I37" s="64">
        <v>43040</v>
      </c>
      <c r="J37" s="63">
        <v>42.962502000000001</v>
      </c>
      <c r="K37" s="65"/>
      <c r="L37" s="65">
        <v>1.6623379868593403E-2</v>
      </c>
      <c r="M37" s="6"/>
      <c r="N37" s="6"/>
      <c r="O37" s="6"/>
      <c r="P37" s="6"/>
      <c r="Q37" s="53">
        <v>2014</v>
      </c>
      <c r="R37" s="54">
        <v>0.46142899999999998</v>
      </c>
      <c r="S37" s="54">
        <v>20.742143449329191</v>
      </c>
      <c r="T37" s="55">
        <f t="shared" si="0"/>
        <v>2.2245965135050821E-2</v>
      </c>
    </row>
    <row r="38" spans="8:20" ht="14.25" customHeight="1" x14ac:dyDescent="0.15">
      <c r="H38" s="6"/>
      <c r="I38" s="64">
        <v>43070</v>
      </c>
      <c r="J38" s="63">
        <v>42.307499</v>
      </c>
      <c r="K38" s="65"/>
      <c r="L38" s="65">
        <v>-1.524592306099865E-2</v>
      </c>
      <c r="M38" s="6"/>
      <c r="N38" s="6"/>
      <c r="O38" s="6"/>
      <c r="P38" s="6"/>
      <c r="Q38" s="53">
        <v>2015</v>
      </c>
      <c r="R38" s="54">
        <v>0.50750000000000006</v>
      </c>
      <c r="S38" s="54">
        <v>27.447819369179861</v>
      </c>
      <c r="T38" s="55">
        <f t="shared" si="0"/>
        <v>1.8489629109475013E-2</v>
      </c>
    </row>
    <row r="39" spans="8:20" ht="14.25" customHeight="1" x14ac:dyDescent="0.15">
      <c r="H39" s="6"/>
      <c r="I39" s="64">
        <v>43101</v>
      </c>
      <c r="J39" s="63">
        <v>41.857498</v>
      </c>
      <c r="K39" s="65">
        <v>0.37972799340749902</v>
      </c>
      <c r="L39" s="65">
        <v>-1.0636435871569726E-2</v>
      </c>
      <c r="M39" s="6"/>
      <c r="N39" s="6"/>
      <c r="O39" s="6"/>
      <c r="P39" s="6"/>
      <c r="Q39" s="53">
        <v>2016</v>
      </c>
      <c r="R39" s="54">
        <v>0.55749999999999988</v>
      </c>
      <c r="S39" s="54">
        <v>24.414201622917538</v>
      </c>
      <c r="T39" s="55">
        <f t="shared" si="0"/>
        <v>2.2835069874931987E-2</v>
      </c>
    </row>
    <row r="40" spans="8:20" ht="14.25" customHeight="1" x14ac:dyDescent="0.15">
      <c r="H40" s="6"/>
      <c r="I40" s="64">
        <v>43132</v>
      </c>
      <c r="J40" s="63">
        <v>44.529998999999997</v>
      </c>
      <c r="K40" s="65"/>
      <c r="L40" s="65">
        <v>6.3847605033630933E-2</v>
      </c>
      <c r="M40" s="6"/>
      <c r="N40" s="6"/>
      <c r="O40" s="6"/>
      <c r="P40" s="6"/>
      <c r="Q40" s="53">
        <v>2017</v>
      </c>
      <c r="R40" s="54">
        <v>0.61499999999999999</v>
      </c>
      <c r="S40" s="54">
        <v>35.800815164330473</v>
      </c>
      <c r="T40" s="55">
        <f t="shared" si="0"/>
        <v>1.7178379798813762E-2</v>
      </c>
    </row>
    <row r="41" spans="8:20" ht="14.25" customHeight="1" x14ac:dyDescent="0.15">
      <c r="H41" s="6"/>
      <c r="I41" s="64">
        <v>43160</v>
      </c>
      <c r="J41" s="63">
        <v>41.945</v>
      </c>
      <c r="K41" s="65"/>
      <c r="L41" s="65">
        <v>-5.805073114868016E-2</v>
      </c>
      <c r="M41" s="6"/>
      <c r="N41" s="6"/>
      <c r="O41" s="6"/>
      <c r="P41" s="6"/>
      <c r="Q41" s="53">
        <v>2018</v>
      </c>
      <c r="R41" s="54">
        <v>0.70499999999999996</v>
      </c>
      <c r="S41" s="54">
        <v>45.641665485275688</v>
      </c>
      <c r="T41" s="55">
        <f t="shared" si="0"/>
        <v>1.5446412669306245E-2</v>
      </c>
    </row>
    <row r="42" spans="8:20" ht="14.25" customHeight="1" x14ac:dyDescent="0.15">
      <c r="H42" s="6"/>
      <c r="I42" s="64">
        <v>43191</v>
      </c>
      <c r="J42" s="63">
        <v>41.314999</v>
      </c>
      <c r="K42" s="65"/>
      <c r="L42" s="65">
        <v>-1.5019692454404578E-2</v>
      </c>
      <c r="M42" s="6"/>
      <c r="N42" s="6"/>
      <c r="O42" s="6"/>
      <c r="P42" s="6"/>
      <c r="Q42" s="53">
        <v>2019</v>
      </c>
      <c r="R42" s="54">
        <v>0.76</v>
      </c>
      <c r="S42" s="54">
        <v>51.071052808610219</v>
      </c>
      <c r="T42" s="55">
        <f t="shared" si="0"/>
        <v>1.488122837115019E-2</v>
      </c>
    </row>
    <row r="43" spans="8:20" ht="14.25" customHeight="1" x14ac:dyDescent="0.15">
      <c r="H43" s="6"/>
      <c r="I43" s="64">
        <v>43221</v>
      </c>
      <c r="J43" s="63">
        <v>46.717498999999997</v>
      </c>
      <c r="K43" s="65"/>
      <c r="L43" s="65">
        <v>0.13076364833023466</v>
      </c>
      <c r="M43" s="6"/>
      <c r="N43" s="6"/>
      <c r="O43" s="6"/>
      <c r="P43" s="6"/>
      <c r="Q43" s="53">
        <v>2020</v>
      </c>
      <c r="R43" s="54">
        <v>0.80749999999999988</v>
      </c>
      <c r="S43" s="54">
        <v>94.599326197808907</v>
      </c>
      <c r="T43" s="55">
        <f t="shared" si="0"/>
        <v>8.5360016022894575E-3</v>
      </c>
    </row>
    <row r="44" spans="8:20" ht="14.25" customHeight="1" thickBot="1" x14ac:dyDescent="0.2">
      <c r="H44" s="6"/>
      <c r="I44" s="64">
        <v>43252</v>
      </c>
      <c r="J44" s="63">
        <v>46.277500000000003</v>
      </c>
      <c r="K44" s="65"/>
      <c r="L44" s="65">
        <v>-9.4182909919898142E-3</v>
      </c>
      <c r="M44" s="6"/>
      <c r="N44" s="6"/>
      <c r="O44" s="6"/>
      <c r="P44" s="6"/>
      <c r="Q44" s="53">
        <v>2021</v>
      </c>
      <c r="R44" s="54">
        <v>0.64500000000000002</v>
      </c>
      <c r="S44" s="54">
        <v>135.5709469799925</v>
      </c>
      <c r="T44" s="55">
        <f t="shared" si="0"/>
        <v>4.7576565213134411E-3</v>
      </c>
    </row>
    <row r="45" spans="8:20" ht="14.25" customHeight="1" thickBot="1" x14ac:dyDescent="0.2">
      <c r="H45" s="6"/>
      <c r="I45" s="64">
        <v>43282</v>
      </c>
      <c r="J45" s="63">
        <v>47.572498000000003</v>
      </c>
      <c r="K45" s="65"/>
      <c r="L45" s="65">
        <v>2.7983318027119002E-2</v>
      </c>
      <c r="M45" s="6"/>
      <c r="N45" s="6"/>
      <c r="O45" s="6"/>
      <c r="P45" s="6"/>
      <c r="T45" s="62">
        <f>AVERAGE(Table_1[Dividends (%)])</f>
        <v>6.524656047817593E-3</v>
      </c>
    </row>
    <row r="46" spans="8:20" ht="14.25" customHeight="1" x14ac:dyDescent="0.15">
      <c r="H46" s="6"/>
      <c r="I46" s="64">
        <v>43313</v>
      </c>
      <c r="J46" s="63">
        <v>56.907501000000003</v>
      </c>
      <c r="K46" s="65"/>
      <c r="L46" s="65">
        <v>0.19622688301968083</v>
      </c>
      <c r="M46" s="6"/>
      <c r="N46" s="6"/>
      <c r="O46" s="6"/>
      <c r="P46" s="6"/>
    </row>
    <row r="47" spans="8:20" ht="14.25" customHeight="1" x14ac:dyDescent="0.15">
      <c r="H47" s="6"/>
      <c r="I47" s="64">
        <v>43344</v>
      </c>
      <c r="J47" s="63">
        <v>56.435001</v>
      </c>
      <c r="K47" s="65"/>
      <c r="L47" s="65">
        <v>-8.3029476202092171E-3</v>
      </c>
      <c r="M47" s="6"/>
      <c r="N47" s="6"/>
      <c r="O47" s="6"/>
      <c r="P47" s="6"/>
    </row>
    <row r="48" spans="8:20" ht="14.25" customHeight="1" x14ac:dyDescent="0.15">
      <c r="H48" s="6"/>
      <c r="I48" s="64">
        <v>43374</v>
      </c>
      <c r="J48" s="63">
        <v>54.715000000000003</v>
      </c>
      <c r="K48" s="65"/>
      <c r="L48" s="65">
        <v>-3.0477557712810112E-2</v>
      </c>
      <c r="M48" s="6"/>
      <c r="N48" s="6"/>
      <c r="O48" s="6"/>
      <c r="P48" s="6"/>
    </row>
    <row r="49" spans="8:16" ht="14.25" customHeight="1" x14ac:dyDescent="0.15">
      <c r="H49" s="6"/>
      <c r="I49" s="64">
        <v>43405</v>
      </c>
      <c r="J49" s="63">
        <v>44.645000000000003</v>
      </c>
      <c r="K49" s="65"/>
      <c r="L49" s="65">
        <v>-0.18404459471808463</v>
      </c>
      <c r="M49" s="6"/>
      <c r="N49" s="6"/>
      <c r="O49" s="6"/>
      <c r="P49" s="6"/>
    </row>
    <row r="50" spans="8:16" ht="14.25" customHeight="1" x14ac:dyDescent="0.15">
      <c r="H50" s="6"/>
      <c r="I50" s="64">
        <v>43435</v>
      </c>
      <c r="J50" s="63">
        <v>39.435001</v>
      </c>
      <c r="K50" s="65"/>
      <c r="L50" s="65">
        <v>-0.11669837607794832</v>
      </c>
      <c r="M50" s="6"/>
      <c r="N50" s="6"/>
      <c r="O50" s="6"/>
      <c r="P50" s="6"/>
    </row>
    <row r="51" spans="8:16" ht="14.25" customHeight="1" x14ac:dyDescent="0.15">
      <c r="H51" s="6"/>
      <c r="I51" s="64">
        <v>43466</v>
      </c>
      <c r="J51" s="63">
        <v>41.610000999999997</v>
      </c>
      <c r="K51" s="65">
        <v>-5.912847442529956E-3</v>
      </c>
      <c r="L51" s="65">
        <v>5.515404957134392E-2</v>
      </c>
      <c r="M51" s="6"/>
      <c r="N51" s="6"/>
      <c r="O51" s="6"/>
      <c r="P51" s="6"/>
    </row>
    <row r="52" spans="8:16" ht="14.25" customHeight="1" x14ac:dyDescent="0.15">
      <c r="H52" s="6"/>
      <c r="I52" s="64">
        <v>43497</v>
      </c>
      <c r="J52" s="63">
        <v>43.287497999999999</v>
      </c>
      <c r="K52" s="65"/>
      <c r="L52" s="65">
        <v>4.0314755099381101E-2</v>
      </c>
      <c r="M52" s="6"/>
      <c r="N52" s="6"/>
      <c r="O52" s="6"/>
      <c r="P52" s="6"/>
    </row>
    <row r="53" spans="8:16" ht="14.25" customHeight="1" x14ac:dyDescent="0.15">
      <c r="H53" s="6"/>
      <c r="I53" s="64">
        <v>43525</v>
      </c>
      <c r="J53" s="63">
        <v>47.487499</v>
      </c>
      <c r="K53" s="65"/>
      <c r="L53" s="65">
        <v>9.7025727844099477E-2</v>
      </c>
      <c r="M53" s="6"/>
      <c r="N53" s="6"/>
      <c r="O53" s="6"/>
      <c r="P53" s="6"/>
    </row>
    <row r="54" spans="8:16" ht="14.25" customHeight="1" x14ac:dyDescent="0.15">
      <c r="H54" s="6"/>
      <c r="I54" s="64">
        <v>43556</v>
      </c>
      <c r="J54" s="63">
        <v>50.167499999999997</v>
      </c>
      <c r="K54" s="65"/>
      <c r="L54" s="65">
        <v>5.6435926431922585E-2</v>
      </c>
      <c r="M54" s="6"/>
      <c r="N54" s="6"/>
      <c r="O54" s="6"/>
      <c r="P54" s="6"/>
    </row>
    <row r="55" spans="8:16" ht="14.25" customHeight="1" x14ac:dyDescent="0.15">
      <c r="H55" s="6"/>
      <c r="I55" s="64">
        <v>43586</v>
      </c>
      <c r="J55" s="63">
        <v>43.767502</v>
      </c>
      <c r="K55" s="65"/>
      <c r="L55" s="65">
        <v>-0.1275725918174116</v>
      </c>
      <c r="M55" s="6"/>
      <c r="N55" s="6"/>
      <c r="O55" s="6"/>
      <c r="P55" s="6"/>
    </row>
    <row r="56" spans="8:16" ht="14.25" customHeight="1" x14ac:dyDescent="0.15">
      <c r="H56" s="6"/>
      <c r="I56" s="64">
        <v>43617</v>
      </c>
      <c r="J56" s="63">
        <v>49.48</v>
      </c>
      <c r="K56" s="65"/>
      <c r="L56" s="65">
        <v>0.13051916922286305</v>
      </c>
      <c r="M56" s="6"/>
      <c r="N56" s="6"/>
      <c r="O56" s="6"/>
      <c r="P56" s="6"/>
    </row>
    <row r="57" spans="8:16" ht="14.25" customHeight="1" x14ac:dyDescent="0.15">
      <c r="H57" s="6"/>
      <c r="I57" s="64">
        <v>43647</v>
      </c>
      <c r="J57" s="63">
        <v>53.259998000000003</v>
      </c>
      <c r="K57" s="65"/>
      <c r="L57" s="65">
        <v>7.6394462409054287E-2</v>
      </c>
      <c r="M57" s="6"/>
      <c r="N57" s="6"/>
      <c r="O57" s="6"/>
      <c r="P57" s="6"/>
    </row>
    <row r="58" spans="8:16" ht="14.25" customHeight="1" x14ac:dyDescent="0.15">
      <c r="H58" s="6"/>
      <c r="I58" s="64">
        <v>43678</v>
      </c>
      <c r="J58" s="63">
        <v>52.185001</v>
      </c>
      <c r="K58" s="65"/>
      <c r="L58" s="65">
        <v>-2.0183947434620694E-2</v>
      </c>
      <c r="M58" s="6"/>
      <c r="N58" s="6"/>
      <c r="O58" s="6"/>
      <c r="P58" s="6"/>
    </row>
    <row r="59" spans="8:16" ht="14.25" customHeight="1" x14ac:dyDescent="0.15">
      <c r="H59" s="6"/>
      <c r="I59" s="64">
        <v>43709</v>
      </c>
      <c r="J59" s="63">
        <v>55.9925</v>
      </c>
      <c r="K59" s="65"/>
      <c r="L59" s="65">
        <v>7.2961558437068919E-2</v>
      </c>
      <c r="M59" s="6"/>
      <c r="N59" s="6"/>
      <c r="O59" s="6"/>
      <c r="P59" s="6"/>
    </row>
    <row r="60" spans="8:16" ht="14.25" customHeight="1" x14ac:dyDescent="0.15">
      <c r="H60" s="6"/>
      <c r="I60" s="64">
        <v>43739</v>
      </c>
      <c r="J60" s="63">
        <v>62.189999</v>
      </c>
      <c r="K60" s="65"/>
      <c r="L60" s="65">
        <v>0.11068444881010851</v>
      </c>
      <c r="M60" s="6"/>
      <c r="N60" s="6"/>
      <c r="O60" s="6"/>
      <c r="P60" s="6"/>
    </row>
    <row r="61" spans="8:16" ht="14.25" customHeight="1" x14ac:dyDescent="0.15">
      <c r="H61" s="6"/>
      <c r="I61" s="64">
        <v>43770</v>
      </c>
      <c r="J61" s="63">
        <v>66.8125</v>
      </c>
      <c r="K61" s="65"/>
      <c r="L61" s="65">
        <v>7.4328687479155608E-2</v>
      </c>
      <c r="M61" s="6"/>
      <c r="N61" s="6"/>
      <c r="O61" s="6"/>
      <c r="P61" s="6"/>
    </row>
    <row r="62" spans="8:16" ht="14.25" customHeight="1" x14ac:dyDescent="0.15">
      <c r="H62" s="6"/>
      <c r="I62" s="64">
        <v>43800</v>
      </c>
      <c r="J62" s="63">
        <v>73.412497999999999</v>
      </c>
      <c r="K62" s="65"/>
      <c r="L62" s="65">
        <v>9.8783880261927026E-2</v>
      </c>
      <c r="M62" s="6"/>
      <c r="N62" s="6"/>
      <c r="O62" s="6"/>
      <c r="P62" s="6"/>
    </row>
    <row r="63" spans="8:16" ht="14.25" customHeight="1" x14ac:dyDescent="0.15">
      <c r="H63" s="6"/>
      <c r="I63" s="64">
        <v>43831</v>
      </c>
      <c r="J63" s="63">
        <v>77.377502000000007</v>
      </c>
      <c r="K63" s="65">
        <v>0.8595890444703429</v>
      </c>
      <c r="L63" s="65">
        <v>5.4009931660410293E-2</v>
      </c>
      <c r="M63" s="6"/>
      <c r="N63" s="6"/>
      <c r="O63" s="6"/>
      <c r="P63" s="6"/>
    </row>
    <row r="64" spans="8:16" ht="14.25" customHeight="1" x14ac:dyDescent="0.15">
      <c r="H64" s="6"/>
      <c r="I64" s="64">
        <v>43862</v>
      </c>
      <c r="J64" s="63">
        <v>68.339995999999999</v>
      </c>
      <c r="K64" s="65"/>
      <c r="L64" s="65">
        <v>-0.1167975931815427</v>
      </c>
      <c r="M64" s="6"/>
      <c r="N64" s="6"/>
      <c r="O64" s="6"/>
      <c r="P64" s="6"/>
    </row>
    <row r="65" spans="8:16" ht="14.25" customHeight="1" x14ac:dyDescent="0.15">
      <c r="H65" s="6"/>
      <c r="I65" s="64">
        <v>43891</v>
      </c>
      <c r="J65" s="63">
        <v>63.572498000000003</v>
      </c>
      <c r="K65" s="65"/>
      <c r="L65" s="65">
        <v>-6.976146150198774E-2</v>
      </c>
      <c r="M65" s="6"/>
      <c r="N65" s="6"/>
      <c r="O65" s="6"/>
      <c r="P65" s="6"/>
    </row>
    <row r="66" spans="8:16" ht="14.25" customHeight="1" x14ac:dyDescent="0.15">
      <c r="H66" s="6"/>
      <c r="I66" s="64">
        <v>43922</v>
      </c>
      <c r="J66" s="63">
        <v>73.449996999999996</v>
      </c>
      <c r="K66" s="65"/>
      <c r="L66" s="65">
        <v>0.15537377499307944</v>
      </c>
      <c r="M66" s="6"/>
      <c r="N66" s="6"/>
      <c r="O66" s="6"/>
      <c r="P66" s="6"/>
    </row>
    <row r="67" spans="8:16" ht="14.25" customHeight="1" x14ac:dyDescent="0.15">
      <c r="H67" s="6"/>
      <c r="I67" s="64">
        <v>43952</v>
      </c>
      <c r="J67" s="63">
        <v>79.485000999999997</v>
      </c>
      <c r="K67" s="65"/>
      <c r="L67" s="65">
        <v>8.2164795731713924E-2</v>
      </c>
      <c r="M67" s="6"/>
      <c r="N67" s="6"/>
      <c r="O67" s="6"/>
      <c r="P67" s="6"/>
    </row>
    <row r="68" spans="8:16" ht="14.25" customHeight="1" x14ac:dyDescent="0.15">
      <c r="H68" s="6"/>
      <c r="I68" s="64">
        <v>43983</v>
      </c>
      <c r="J68" s="63">
        <v>91.199996999999996</v>
      </c>
      <c r="K68" s="65"/>
      <c r="L68" s="65">
        <v>0.14738624712352963</v>
      </c>
      <c r="M68" s="6"/>
      <c r="N68" s="6"/>
      <c r="O68" s="6"/>
      <c r="P68" s="6"/>
    </row>
    <row r="69" spans="8:16" ht="14.25" customHeight="1" x14ac:dyDescent="0.15">
      <c r="H69" s="6"/>
      <c r="I69" s="64">
        <v>44013</v>
      </c>
      <c r="J69" s="63">
        <v>106.260002</v>
      </c>
      <c r="K69" s="65"/>
      <c r="L69" s="65">
        <v>0.16513163920389168</v>
      </c>
      <c r="M69" s="6"/>
      <c r="N69" s="6"/>
      <c r="O69" s="6"/>
      <c r="P69" s="6"/>
    </row>
    <row r="70" spans="8:16" ht="14.25" customHeight="1" x14ac:dyDescent="0.15">
      <c r="H70" s="6"/>
      <c r="I70" s="64">
        <v>44044</v>
      </c>
      <c r="J70" s="63">
        <v>129.03999300000001</v>
      </c>
      <c r="K70" s="65"/>
      <c r="L70" s="65">
        <v>0.21437973434256108</v>
      </c>
      <c r="M70" s="6"/>
      <c r="N70" s="6"/>
      <c r="O70" s="6"/>
      <c r="P70" s="6"/>
    </row>
    <row r="71" spans="8:16" ht="14.25" customHeight="1" x14ac:dyDescent="0.15">
      <c r="H71" s="6"/>
      <c r="I71" s="64">
        <v>44075</v>
      </c>
      <c r="J71" s="63">
        <v>115.80999799999999</v>
      </c>
      <c r="K71" s="65"/>
      <c r="L71" s="65">
        <v>-0.10252631523313874</v>
      </c>
      <c r="M71" s="6"/>
      <c r="N71" s="6"/>
      <c r="O71" s="6"/>
      <c r="P71" s="6"/>
    </row>
    <row r="72" spans="8:16" ht="14.25" customHeight="1" x14ac:dyDescent="0.15">
      <c r="H72" s="6"/>
      <c r="I72" s="64">
        <v>44105</v>
      </c>
      <c r="J72" s="63">
        <v>108.860001</v>
      </c>
      <c r="K72" s="65"/>
      <c r="L72" s="65">
        <v>-6.0012063897971889E-2</v>
      </c>
      <c r="M72" s="6"/>
      <c r="N72" s="6"/>
      <c r="O72" s="6"/>
      <c r="P72" s="6"/>
    </row>
    <row r="73" spans="8:16" ht="14.25" customHeight="1" x14ac:dyDescent="0.15">
      <c r="H73" s="6"/>
      <c r="I73" s="64">
        <v>44136</v>
      </c>
      <c r="J73" s="63">
        <v>119.050003</v>
      </c>
      <c r="K73" s="65"/>
      <c r="L73" s="65">
        <v>9.3606484534204684E-2</v>
      </c>
      <c r="M73" s="6"/>
      <c r="N73" s="6"/>
      <c r="O73" s="6"/>
      <c r="P73" s="6"/>
    </row>
    <row r="74" spans="8:16" ht="14.25" customHeight="1" x14ac:dyDescent="0.15">
      <c r="H74" s="6"/>
      <c r="I74" s="64">
        <v>44166</v>
      </c>
      <c r="J74" s="63">
        <v>132.69000199999999</v>
      </c>
      <c r="K74" s="65"/>
      <c r="L74" s="65">
        <v>0.11457369723879796</v>
      </c>
      <c r="M74" s="6"/>
      <c r="N74" s="6"/>
      <c r="O74" s="6"/>
      <c r="P74" s="6"/>
    </row>
    <row r="75" spans="8:16" ht="14.25" customHeight="1" x14ac:dyDescent="0.15">
      <c r="H75" s="6"/>
      <c r="I75" s="64">
        <v>44197</v>
      </c>
      <c r="J75" s="63">
        <v>131.96000699999999</v>
      </c>
      <c r="K75" s="65">
        <v>0.70540536446886049</v>
      </c>
      <c r="L75" s="65">
        <v>-5.5015071896675561E-3</v>
      </c>
      <c r="M75" s="6"/>
      <c r="N75" s="6"/>
      <c r="O75" s="6"/>
      <c r="P75" s="6"/>
    </row>
    <row r="76" spans="8:16" ht="14.25" customHeight="1" x14ac:dyDescent="0.15">
      <c r="H76" s="6"/>
      <c r="I76" s="64">
        <v>44228</v>
      </c>
      <c r="J76" s="63">
        <v>121.260002</v>
      </c>
      <c r="K76" s="65"/>
      <c r="L76" s="65">
        <v>-8.1085210915455549E-2</v>
      </c>
      <c r="M76" s="6"/>
      <c r="N76" s="6"/>
      <c r="O76" s="6"/>
      <c r="P76" s="6"/>
    </row>
    <row r="77" spans="8:16" ht="14.25" customHeight="1" x14ac:dyDescent="0.15">
      <c r="H77" s="6"/>
      <c r="I77" s="64">
        <v>44256</v>
      </c>
      <c r="J77" s="63">
        <v>122.150002</v>
      </c>
      <c r="K77" s="65"/>
      <c r="L77" s="65">
        <v>7.3396007366056332E-3</v>
      </c>
      <c r="M77" s="6"/>
      <c r="N77" s="6"/>
      <c r="O77" s="6"/>
      <c r="P77" s="6"/>
    </row>
    <row r="78" spans="8:16" ht="14.25" customHeight="1" x14ac:dyDescent="0.15">
      <c r="H78" s="6"/>
      <c r="I78" s="64">
        <v>44287</v>
      </c>
      <c r="J78" s="63">
        <v>131.46000699999999</v>
      </c>
      <c r="K78" s="65"/>
      <c r="L78" s="65">
        <v>7.6217804728320751E-2</v>
      </c>
      <c r="M78" s="6"/>
      <c r="N78" s="6"/>
      <c r="O78" s="6"/>
      <c r="P78" s="6"/>
    </row>
    <row r="79" spans="8:16" ht="14.25" customHeight="1" x14ac:dyDescent="0.15">
      <c r="H79" s="6"/>
      <c r="I79" s="64">
        <v>44317</v>
      </c>
      <c r="J79" s="63">
        <v>124.610001</v>
      </c>
      <c r="K79" s="65"/>
      <c r="L79" s="65">
        <v>-5.2107147689410924E-2</v>
      </c>
      <c r="M79" s="6"/>
      <c r="N79" s="6"/>
      <c r="O79" s="6"/>
      <c r="P79" s="6"/>
    </row>
    <row r="80" spans="8:16" ht="14.25" customHeight="1" x14ac:dyDescent="0.15">
      <c r="H80" s="6"/>
      <c r="I80" s="64">
        <v>44348</v>
      </c>
      <c r="J80" s="63">
        <v>136.96000699999999</v>
      </c>
      <c r="K80" s="65"/>
      <c r="L80" s="65">
        <v>9.9109268123671657E-2</v>
      </c>
      <c r="M80" s="6"/>
      <c r="N80" s="6"/>
      <c r="O80" s="6"/>
      <c r="P80" s="6"/>
    </row>
    <row r="81" spans="8:16" ht="14.25" customHeight="1" x14ac:dyDescent="0.15">
      <c r="H81" s="6"/>
      <c r="I81" s="64">
        <v>44378</v>
      </c>
      <c r="J81" s="63">
        <v>145.86000100000001</v>
      </c>
      <c r="K81" s="65"/>
      <c r="L81" s="65">
        <v>6.4982429505863137E-2</v>
      </c>
      <c r="M81" s="6"/>
      <c r="N81" s="6"/>
      <c r="O81" s="6"/>
      <c r="P81" s="6"/>
    </row>
    <row r="82" spans="8:16" ht="14.25" customHeight="1" x14ac:dyDescent="0.15">
      <c r="H82" s="6"/>
      <c r="I82" s="64">
        <v>44409</v>
      </c>
      <c r="J82" s="63">
        <v>151.83000200000001</v>
      </c>
      <c r="K82" s="65"/>
      <c r="L82" s="65">
        <v>4.0929665151997328E-2</v>
      </c>
      <c r="M82" s="6"/>
      <c r="N82" s="6"/>
      <c r="O82" s="6"/>
      <c r="P82" s="6"/>
    </row>
    <row r="83" spans="8:16" ht="14.25" customHeight="1" x14ac:dyDescent="0.15">
      <c r="H83" s="6"/>
      <c r="I83" s="64">
        <v>44440</v>
      </c>
      <c r="J83" s="63">
        <v>141.5</v>
      </c>
      <c r="K83" s="65"/>
      <c r="L83" s="65">
        <v>-6.8036632180245957E-2</v>
      </c>
      <c r="M83" s="6"/>
      <c r="N83" s="6"/>
      <c r="O83" s="6"/>
      <c r="P83" s="6"/>
    </row>
    <row r="84" spans="8:16" ht="14.25" customHeight="1" x14ac:dyDescent="0.15">
      <c r="H84" s="6"/>
      <c r="I84" s="64">
        <v>44470</v>
      </c>
      <c r="J84" s="63">
        <v>148.69000199999999</v>
      </c>
      <c r="K84" s="65"/>
      <c r="L84" s="65">
        <v>5.0812734982332103E-2</v>
      </c>
      <c r="M84" s="6"/>
      <c r="N84" s="6"/>
      <c r="O84" s="6"/>
      <c r="P84" s="6"/>
    </row>
    <row r="85" spans="8:16" ht="14.25" customHeight="1" x14ac:dyDescent="0.15">
      <c r="H85" s="6"/>
      <c r="I85" s="64">
        <v>44491</v>
      </c>
      <c r="J85" s="63">
        <v>148.69000199999999</v>
      </c>
      <c r="K85" s="65">
        <v>0.12678079806406803</v>
      </c>
      <c r="L85" s="65"/>
      <c r="M85" s="6"/>
      <c r="N85" s="6"/>
      <c r="O85" s="6"/>
      <c r="P85" s="6"/>
    </row>
    <row r="86" spans="8:16" ht="14.25" customHeight="1" x14ac:dyDescent="0.15">
      <c r="H86" s="6"/>
      <c r="I86" s="6"/>
      <c r="J86" s="6"/>
      <c r="K86" s="6"/>
      <c r="L86" s="6"/>
      <c r="M86" s="6"/>
      <c r="N86" s="6"/>
      <c r="O86" s="6"/>
      <c r="P86" s="6"/>
    </row>
    <row r="87" spans="8:16" ht="14.25" customHeight="1" thickBot="1" x14ac:dyDescent="0.2">
      <c r="H87" s="6"/>
      <c r="I87" s="6"/>
      <c r="J87" s="6"/>
      <c r="K87" s="60"/>
      <c r="L87" s="6"/>
      <c r="M87" s="6"/>
      <c r="N87" s="6"/>
      <c r="O87" s="6"/>
      <c r="P87" s="6"/>
    </row>
    <row r="88" spans="8:16" ht="14.25" customHeight="1" thickBot="1" x14ac:dyDescent="0.2">
      <c r="H88" s="6"/>
      <c r="I88" s="6"/>
      <c r="J88" s="6"/>
      <c r="K88" s="66">
        <v>0.30615445199541413</v>
      </c>
      <c r="L88" s="67">
        <f>_xlfn.STDEV.S(L3:L84)</f>
        <v>8.1781427603458259E-2</v>
      </c>
      <c r="M88" s="6"/>
      <c r="N88" s="6"/>
      <c r="O88" s="6"/>
      <c r="P88" s="6"/>
    </row>
    <row r="89" spans="8:16" ht="14.25" customHeight="1" x14ac:dyDescent="0.15">
      <c r="H89" s="6"/>
      <c r="I89" s="6"/>
      <c r="J89" s="6"/>
      <c r="K89" s="60" t="s">
        <v>58</v>
      </c>
      <c r="L89" s="60" t="s">
        <v>16</v>
      </c>
      <c r="M89" s="6"/>
      <c r="N89" s="6"/>
      <c r="O89" s="6"/>
      <c r="P89" s="6"/>
    </row>
    <row r="90" spans="8:16" ht="14.25" customHeight="1" x14ac:dyDescent="0.15">
      <c r="H90" s="6"/>
      <c r="I90" s="6"/>
      <c r="J90" s="6"/>
      <c r="K90" s="6"/>
      <c r="L90" s="6"/>
      <c r="M90" s="6"/>
      <c r="N90" s="6"/>
      <c r="O90" s="6"/>
      <c r="P90" s="6"/>
    </row>
    <row r="91" spans="8:16" ht="14.25" customHeight="1" x14ac:dyDescent="0.15">
      <c r="H91" s="6"/>
      <c r="I91" s="6"/>
      <c r="J91" s="6"/>
      <c r="K91" s="6"/>
      <c r="L91" s="6"/>
      <c r="M91" s="6"/>
      <c r="N91" s="6"/>
      <c r="O91" s="6"/>
      <c r="P91" s="6"/>
    </row>
    <row r="92" spans="8:16" ht="14.25" customHeight="1" x14ac:dyDescent="0.15">
      <c r="H92" s="6"/>
      <c r="I92" s="6"/>
      <c r="J92" s="6"/>
      <c r="K92" s="6"/>
      <c r="L92" s="6"/>
      <c r="M92" s="6"/>
      <c r="N92" s="6"/>
      <c r="O92" s="6"/>
      <c r="P92" s="6"/>
    </row>
    <row r="93" spans="8:16" ht="14.25" customHeight="1" x14ac:dyDescent="0.15">
      <c r="H93" s="6"/>
      <c r="I93" s="6"/>
      <c r="J93" s="6"/>
      <c r="K93" s="6"/>
      <c r="L93" s="6"/>
      <c r="M93" s="6"/>
      <c r="N93" s="6"/>
      <c r="O93" s="6"/>
      <c r="P93" s="6"/>
    </row>
    <row r="94" spans="8:16" ht="14.25" customHeight="1" x14ac:dyDescent="0.15">
      <c r="H94" s="6"/>
      <c r="I94" s="6"/>
      <c r="J94" s="6"/>
      <c r="K94" s="6"/>
      <c r="L94" s="6"/>
      <c r="M94" s="6"/>
      <c r="N94" s="6"/>
      <c r="O94" s="6"/>
      <c r="P94" s="6"/>
    </row>
    <row r="95" spans="8:16" ht="14.25" customHeight="1" x14ac:dyDescent="0.15">
      <c r="H95" s="6"/>
      <c r="I95" s="6"/>
      <c r="J95" s="6"/>
      <c r="K95" s="6"/>
      <c r="L95" s="6"/>
      <c r="M95" s="6"/>
      <c r="N95" s="6"/>
      <c r="O95" s="6"/>
      <c r="P95" s="6"/>
    </row>
    <row r="96" spans="8:16" ht="14.25" customHeight="1" x14ac:dyDescent="0.15">
      <c r="H96" s="6"/>
      <c r="I96" s="6"/>
      <c r="J96" s="6"/>
      <c r="K96" s="6"/>
      <c r="L96" s="6"/>
      <c r="M96" s="6"/>
      <c r="N96" s="6"/>
      <c r="O96" s="6"/>
      <c r="P96" s="6"/>
    </row>
    <row r="97" spans="8:16" ht="14.25" customHeight="1" x14ac:dyDescent="0.15">
      <c r="H97" s="6"/>
      <c r="I97" s="6"/>
      <c r="J97" s="6"/>
      <c r="K97" s="6"/>
      <c r="L97" s="6"/>
      <c r="M97" s="6"/>
      <c r="N97" s="6"/>
      <c r="O97" s="6"/>
      <c r="P97" s="6"/>
    </row>
    <row r="98" spans="8:16" ht="14.25" customHeight="1" x14ac:dyDescent="0.15">
      <c r="H98" s="6"/>
      <c r="I98" s="6"/>
      <c r="J98" s="6"/>
      <c r="K98" s="6"/>
      <c r="L98" s="6"/>
      <c r="M98" s="6"/>
      <c r="N98" s="6"/>
      <c r="O98" s="6"/>
      <c r="P98" s="6"/>
    </row>
    <row r="99" spans="8:16" ht="14.25" customHeight="1" x14ac:dyDescent="0.15">
      <c r="H99" s="6"/>
      <c r="I99" s="6"/>
      <c r="J99" s="6"/>
      <c r="K99" s="6"/>
      <c r="L99" s="6"/>
      <c r="M99" s="6"/>
      <c r="N99" s="6"/>
      <c r="O99" s="6"/>
      <c r="P99" s="6"/>
    </row>
    <row r="100" spans="8:16" ht="14.25" customHeight="1" x14ac:dyDescent="0.15">
      <c r="H100" s="6"/>
      <c r="I100" s="6"/>
      <c r="J100" s="6"/>
      <c r="K100" s="6"/>
      <c r="L100" s="6"/>
      <c r="M100" s="6"/>
      <c r="N100" s="6"/>
      <c r="O100" s="6"/>
      <c r="P100" s="6"/>
    </row>
    <row r="101" spans="8:16" ht="14.25" customHeight="1" x14ac:dyDescent="0.15">
      <c r="H101" s="6"/>
      <c r="I101" s="6"/>
      <c r="J101" s="6"/>
      <c r="K101" s="6"/>
      <c r="L101" s="6"/>
      <c r="M101" s="6"/>
      <c r="N101" s="6"/>
      <c r="O101" s="6"/>
      <c r="P101" s="6"/>
    </row>
    <row r="102" spans="8:16" ht="14.25" customHeight="1" x14ac:dyDescent="0.15">
      <c r="H102" s="6"/>
      <c r="I102" s="6"/>
      <c r="J102" s="6"/>
      <c r="K102" s="6"/>
      <c r="L102" s="6"/>
      <c r="M102" s="6"/>
      <c r="N102" s="6"/>
      <c r="O102" s="6"/>
      <c r="P102" s="6"/>
    </row>
    <row r="103" spans="8:16" ht="14.25" customHeight="1" x14ac:dyDescent="0.15">
      <c r="H103" s="6"/>
      <c r="I103" s="6"/>
      <c r="J103" s="6"/>
      <c r="K103" s="6"/>
      <c r="L103" s="6"/>
      <c r="M103" s="6"/>
      <c r="N103" s="6"/>
      <c r="O103" s="6"/>
      <c r="P103" s="6"/>
    </row>
    <row r="104" spans="8:16" ht="14.25" customHeight="1" x14ac:dyDescent="0.15">
      <c r="H104" s="6"/>
      <c r="I104" s="6"/>
      <c r="J104" s="6"/>
      <c r="K104" s="6"/>
      <c r="L104" s="6"/>
      <c r="M104" s="6"/>
      <c r="N104" s="6"/>
      <c r="O104" s="6"/>
      <c r="P104" s="6"/>
    </row>
    <row r="105" spans="8:16" ht="14.25" customHeight="1" x14ac:dyDescent="0.15">
      <c r="H105" s="6"/>
      <c r="I105" s="6"/>
      <c r="J105" s="6"/>
      <c r="K105" s="6"/>
      <c r="L105" s="6"/>
      <c r="M105" s="6"/>
      <c r="N105" s="6"/>
      <c r="O105" s="6"/>
      <c r="P105" s="6"/>
    </row>
    <row r="106" spans="8:16" ht="14.25" customHeight="1" x14ac:dyDescent="0.15">
      <c r="H106" s="6"/>
      <c r="I106" s="6"/>
      <c r="J106" s="6"/>
      <c r="K106" s="6"/>
      <c r="L106" s="6"/>
      <c r="M106" s="6"/>
      <c r="N106" s="6"/>
      <c r="O106" s="6"/>
      <c r="P106" s="6"/>
    </row>
    <row r="107" spans="8:16" ht="14.25" customHeight="1" x14ac:dyDescent="0.15">
      <c r="H107" s="6"/>
      <c r="I107" s="6"/>
      <c r="J107" s="6"/>
      <c r="K107" s="6"/>
      <c r="L107" s="6"/>
      <c r="M107" s="6"/>
      <c r="N107" s="6"/>
      <c r="O107" s="6"/>
      <c r="P107" s="6"/>
    </row>
    <row r="108" spans="8:16" ht="14.25" customHeight="1" x14ac:dyDescent="0.15">
      <c r="H108" s="6"/>
      <c r="I108" s="6"/>
      <c r="J108" s="6"/>
      <c r="K108" s="6"/>
      <c r="L108" s="6"/>
      <c r="M108" s="6"/>
      <c r="N108" s="6"/>
      <c r="O108" s="6"/>
      <c r="P108" s="6"/>
    </row>
    <row r="109" spans="8:16" ht="14.25" customHeight="1" x14ac:dyDescent="0.15">
      <c r="H109" s="6"/>
      <c r="I109" s="6"/>
      <c r="J109" s="6"/>
      <c r="K109" s="6"/>
      <c r="L109" s="6"/>
      <c r="M109" s="6"/>
      <c r="N109" s="6"/>
      <c r="O109" s="6"/>
      <c r="P109" s="6"/>
    </row>
    <row r="110" spans="8:16" ht="14.25" customHeight="1" x14ac:dyDescent="0.15">
      <c r="H110" s="6"/>
      <c r="I110" s="6"/>
      <c r="J110" s="6"/>
      <c r="K110" s="6"/>
      <c r="L110" s="6"/>
      <c r="M110" s="6"/>
      <c r="N110" s="6"/>
      <c r="O110" s="6"/>
      <c r="P110" s="6"/>
    </row>
    <row r="111" spans="8:16" ht="14.25" customHeight="1" x14ac:dyDescent="0.15">
      <c r="H111" s="6"/>
      <c r="I111" s="6"/>
      <c r="J111" s="6"/>
      <c r="K111" s="6"/>
      <c r="L111" s="6"/>
      <c r="M111" s="6"/>
      <c r="N111" s="6"/>
      <c r="O111" s="6"/>
      <c r="P111" s="6"/>
    </row>
    <row r="112" spans="8:16" ht="14.25" customHeight="1" x14ac:dyDescent="0.15">
      <c r="H112" s="6"/>
      <c r="I112" s="6"/>
      <c r="J112" s="6"/>
      <c r="K112" s="6"/>
      <c r="L112" s="6"/>
      <c r="M112" s="6"/>
      <c r="N112" s="6"/>
      <c r="O112" s="6"/>
      <c r="P112" s="6"/>
    </row>
    <row r="113" spans="8:16" ht="14.25" customHeight="1" x14ac:dyDescent="0.15">
      <c r="H113" s="6"/>
      <c r="I113" s="6"/>
      <c r="J113" s="6"/>
      <c r="K113" s="6"/>
      <c r="L113" s="6"/>
      <c r="M113" s="6"/>
      <c r="N113" s="6"/>
      <c r="O113" s="6"/>
      <c r="P113" s="6"/>
    </row>
    <row r="114" spans="8:16" ht="14.25" customHeight="1" x14ac:dyDescent="0.15">
      <c r="H114" s="6"/>
      <c r="I114" s="6"/>
      <c r="J114" s="6"/>
      <c r="K114" s="6"/>
      <c r="L114" s="6"/>
      <c r="M114" s="6"/>
      <c r="N114" s="6"/>
      <c r="O114" s="6"/>
      <c r="P114" s="6"/>
    </row>
    <row r="115" spans="8:16" ht="14.25" customHeight="1" x14ac:dyDescent="0.15">
      <c r="H115" s="6"/>
      <c r="I115" s="6"/>
      <c r="J115" s="6"/>
      <c r="K115" s="6"/>
      <c r="L115" s="6"/>
      <c r="M115" s="6"/>
      <c r="N115" s="6"/>
      <c r="O115" s="6"/>
      <c r="P115" s="6"/>
    </row>
    <row r="116" spans="8:16" ht="14.25" customHeight="1" x14ac:dyDescent="0.15">
      <c r="H116" s="6"/>
      <c r="I116" s="6"/>
      <c r="J116" s="6"/>
      <c r="K116" s="6"/>
      <c r="L116" s="6"/>
      <c r="M116" s="6"/>
      <c r="N116" s="6"/>
      <c r="O116" s="6"/>
      <c r="P116" s="6"/>
    </row>
    <row r="117" spans="8:16" ht="14.25" customHeight="1" x14ac:dyDescent="0.15">
      <c r="H117" s="6"/>
      <c r="I117" s="6"/>
      <c r="J117" s="6"/>
      <c r="K117" s="6"/>
      <c r="L117" s="6"/>
      <c r="M117" s="6"/>
      <c r="N117" s="6"/>
      <c r="O117" s="6"/>
      <c r="P117" s="6"/>
    </row>
    <row r="118" spans="8:16" ht="14.25" customHeight="1" x14ac:dyDescent="0.15">
      <c r="H118" s="6"/>
      <c r="I118" s="6"/>
      <c r="J118" s="6"/>
      <c r="K118" s="6"/>
      <c r="L118" s="6"/>
      <c r="M118" s="6"/>
      <c r="N118" s="6"/>
      <c r="O118" s="6"/>
      <c r="P118" s="6"/>
    </row>
    <row r="119" spans="8:16" ht="14.25" customHeight="1" x14ac:dyDescent="0.15">
      <c r="H119" s="6"/>
      <c r="I119" s="6"/>
      <c r="J119" s="6"/>
      <c r="K119" s="6"/>
      <c r="L119" s="6"/>
      <c r="M119" s="6"/>
      <c r="N119" s="6"/>
      <c r="O119" s="6"/>
      <c r="P119" s="6"/>
    </row>
    <row r="120" spans="8:16" ht="14.25" customHeight="1" x14ac:dyDescent="0.15">
      <c r="H120" s="6"/>
      <c r="I120" s="6"/>
      <c r="J120" s="6"/>
      <c r="K120" s="6"/>
      <c r="L120" s="6"/>
      <c r="M120" s="6"/>
      <c r="N120" s="6"/>
      <c r="O120" s="6"/>
      <c r="P120" s="6"/>
    </row>
    <row r="121" spans="8:16" ht="14.25" customHeight="1" x14ac:dyDescent="0.15">
      <c r="H121" s="6"/>
      <c r="I121" s="6"/>
      <c r="J121" s="6"/>
      <c r="K121" s="6"/>
      <c r="L121" s="6"/>
      <c r="M121" s="6"/>
      <c r="N121" s="6"/>
      <c r="O121" s="6"/>
      <c r="P121" s="6"/>
    </row>
    <row r="122" spans="8:16" ht="14.25" customHeight="1" x14ac:dyDescent="0.15">
      <c r="H122" s="6"/>
      <c r="I122" s="6"/>
      <c r="J122" s="6"/>
      <c r="K122" s="6"/>
      <c r="L122" s="6"/>
      <c r="M122" s="6"/>
      <c r="N122" s="6"/>
      <c r="O122" s="6"/>
      <c r="P122" s="6"/>
    </row>
    <row r="123" spans="8:16" ht="14.25" customHeight="1" x14ac:dyDescent="0.15">
      <c r="H123" s="6"/>
      <c r="I123" s="6"/>
      <c r="J123" s="6"/>
      <c r="K123" s="6"/>
      <c r="L123" s="6"/>
      <c r="M123" s="6"/>
      <c r="N123" s="6"/>
      <c r="O123" s="6"/>
      <c r="P123" s="6"/>
    </row>
    <row r="124" spans="8:16" ht="14.25" customHeight="1" x14ac:dyDescent="0.15">
      <c r="H124" s="6"/>
      <c r="I124" s="6"/>
      <c r="J124" s="6"/>
      <c r="K124" s="6"/>
      <c r="L124" s="6"/>
      <c r="M124" s="6"/>
      <c r="N124" s="6"/>
      <c r="O124" s="6"/>
      <c r="P124" s="6"/>
    </row>
    <row r="125" spans="8:16" ht="14.25" customHeight="1" x14ac:dyDescent="0.15">
      <c r="H125" s="6"/>
      <c r="I125" s="6"/>
      <c r="J125" s="6"/>
      <c r="K125" s="6"/>
      <c r="L125" s="6"/>
      <c r="M125" s="6"/>
      <c r="N125" s="6"/>
      <c r="O125" s="6"/>
      <c r="P125" s="6"/>
    </row>
    <row r="126" spans="8:16" ht="14.25" customHeight="1" x14ac:dyDescent="0.15">
      <c r="H126" s="6"/>
      <c r="I126" s="6"/>
      <c r="J126" s="6"/>
      <c r="K126" s="6"/>
      <c r="L126" s="6"/>
      <c r="M126" s="6"/>
      <c r="N126" s="6"/>
      <c r="O126" s="6"/>
      <c r="P126" s="6"/>
    </row>
    <row r="127" spans="8:16" ht="14.25" customHeight="1" x14ac:dyDescent="0.15">
      <c r="H127" s="6"/>
      <c r="I127" s="6"/>
      <c r="J127" s="6"/>
      <c r="K127" s="6"/>
      <c r="L127" s="6"/>
      <c r="M127" s="6"/>
      <c r="N127" s="6"/>
      <c r="O127" s="6"/>
      <c r="P127" s="6"/>
    </row>
    <row r="128" spans="8:16" ht="14.25" customHeight="1" x14ac:dyDescent="0.15">
      <c r="H128" s="6"/>
      <c r="I128" s="6"/>
      <c r="J128" s="6"/>
      <c r="K128" s="6"/>
      <c r="L128" s="6"/>
      <c r="M128" s="6"/>
      <c r="N128" s="6"/>
      <c r="O128" s="6"/>
      <c r="P128" s="6"/>
    </row>
    <row r="129" spans="8:16" ht="14.25" customHeight="1" x14ac:dyDescent="0.15">
      <c r="H129" s="6"/>
      <c r="I129" s="6"/>
      <c r="J129" s="6"/>
      <c r="K129" s="6"/>
      <c r="L129" s="6"/>
      <c r="M129" s="6"/>
      <c r="N129" s="6"/>
      <c r="O129" s="6"/>
      <c r="P129" s="6"/>
    </row>
    <row r="130" spans="8:16" ht="14.25" customHeight="1" x14ac:dyDescent="0.15">
      <c r="H130" s="6"/>
      <c r="I130" s="6"/>
      <c r="J130" s="6"/>
      <c r="K130" s="6"/>
      <c r="L130" s="6"/>
      <c r="M130" s="6"/>
      <c r="N130" s="6"/>
      <c r="O130" s="6"/>
      <c r="P130" s="6"/>
    </row>
    <row r="131" spans="8:16" ht="14.25" customHeight="1" x14ac:dyDescent="0.15">
      <c r="H131" s="6"/>
      <c r="I131" s="6"/>
      <c r="J131" s="6"/>
      <c r="K131" s="6"/>
      <c r="L131" s="6"/>
      <c r="M131" s="6"/>
      <c r="N131" s="6"/>
      <c r="O131" s="6"/>
      <c r="P131" s="6"/>
    </row>
    <row r="132" spans="8:16" ht="14.25" customHeight="1" x14ac:dyDescent="0.15">
      <c r="H132" s="6"/>
      <c r="I132" s="6"/>
      <c r="J132" s="6"/>
      <c r="K132" s="6"/>
      <c r="L132" s="6"/>
      <c r="M132" s="6"/>
      <c r="N132" s="6"/>
      <c r="O132" s="6"/>
      <c r="P132" s="6"/>
    </row>
    <row r="133" spans="8:16" ht="14.25" customHeight="1" x14ac:dyDescent="0.15">
      <c r="H133" s="6"/>
      <c r="I133" s="6"/>
      <c r="J133" s="6"/>
      <c r="K133" s="6"/>
      <c r="L133" s="6"/>
      <c r="M133" s="6"/>
      <c r="N133" s="6"/>
      <c r="O133" s="6"/>
      <c r="P133" s="6"/>
    </row>
    <row r="134" spans="8:16" ht="14.25" customHeight="1" x14ac:dyDescent="0.15">
      <c r="H134" s="6"/>
      <c r="I134" s="6"/>
      <c r="J134" s="6"/>
      <c r="K134" s="6"/>
      <c r="L134" s="6"/>
      <c r="M134" s="6"/>
      <c r="N134" s="6"/>
      <c r="O134" s="6"/>
      <c r="P134" s="6"/>
    </row>
    <row r="135" spans="8:16" ht="14.25" customHeight="1" x14ac:dyDescent="0.15">
      <c r="H135" s="6"/>
      <c r="I135" s="6"/>
      <c r="J135" s="6"/>
      <c r="K135" s="6"/>
      <c r="L135" s="6"/>
      <c r="M135" s="6"/>
      <c r="N135" s="6"/>
      <c r="O135" s="6"/>
      <c r="P135" s="6"/>
    </row>
    <row r="136" spans="8:16" ht="14.25" customHeight="1" x14ac:dyDescent="0.15">
      <c r="H136" s="6"/>
      <c r="I136" s="6"/>
      <c r="J136" s="6"/>
      <c r="K136" s="6"/>
      <c r="L136" s="6"/>
      <c r="M136" s="6"/>
      <c r="N136" s="6"/>
      <c r="O136" s="6"/>
      <c r="P136" s="6"/>
    </row>
    <row r="137" spans="8:16" ht="14.25" customHeight="1" x14ac:dyDescent="0.15">
      <c r="H137" s="6"/>
      <c r="I137" s="6"/>
      <c r="J137" s="6"/>
      <c r="K137" s="6"/>
      <c r="L137" s="6"/>
      <c r="M137" s="6"/>
      <c r="N137" s="6"/>
      <c r="O137" s="6"/>
      <c r="P137" s="6"/>
    </row>
    <row r="138" spans="8:16" ht="14.25" customHeight="1" x14ac:dyDescent="0.15">
      <c r="H138" s="6"/>
      <c r="I138" s="6"/>
      <c r="J138" s="6"/>
      <c r="K138" s="6"/>
      <c r="L138" s="6"/>
      <c r="M138" s="6"/>
      <c r="N138" s="6"/>
      <c r="O138" s="6"/>
      <c r="P138" s="6"/>
    </row>
    <row r="139" spans="8:16" ht="14.25" customHeight="1" x14ac:dyDescent="0.15">
      <c r="H139" s="6"/>
      <c r="I139" s="6"/>
      <c r="J139" s="6"/>
      <c r="K139" s="6"/>
      <c r="L139" s="6"/>
      <c r="M139" s="6"/>
      <c r="N139" s="6"/>
      <c r="O139" s="6"/>
      <c r="P139" s="6"/>
    </row>
    <row r="140" spans="8:16" ht="14.25" customHeight="1" x14ac:dyDescent="0.15">
      <c r="H140" s="6"/>
      <c r="I140" s="6"/>
      <c r="J140" s="6"/>
      <c r="K140" s="6"/>
      <c r="L140" s="6"/>
      <c r="M140" s="6"/>
      <c r="N140" s="6"/>
      <c r="O140" s="6"/>
      <c r="P140" s="6"/>
    </row>
    <row r="141" spans="8:16" ht="14.25" customHeight="1" x14ac:dyDescent="0.15">
      <c r="H141" s="6"/>
      <c r="I141" s="6"/>
      <c r="J141" s="6"/>
      <c r="K141" s="6"/>
      <c r="L141" s="6"/>
      <c r="M141" s="6"/>
      <c r="N141" s="6"/>
      <c r="O141" s="6"/>
      <c r="P141" s="6"/>
    </row>
    <row r="142" spans="8:16" ht="14.25" customHeight="1" x14ac:dyDescent="0.15">
      <c r="H142" s="6"/>
      <c r="I142" s="6"/>
      <c r="J142" s="6"/>
      <c r="K142" s="6"/>
      <c r="L142" s="6"/>
      <c r="M142" s="6"/>
      <c r="N142" s="6"/>
      <c r="O142" s="6"/>
      <c r="P142" s="6"/>
    </row>
    <row r="143" spans="8:16" ht="14.25" customHeight="1" x14ac:dyDescent="0.15">
      <c r="H143" s="6"/>
      <c r="I143" s="6"/>
      <c r="J143" s="6"/>
      <c r="K143" s="6"/>
      <c r="L143" s="6"/>
      <c r="M143" s="6"/>
      <c r="N143" s="6"/>
      <c r="O143" s="6"/>
      <c r="P143" s="6"/>
    </row>
    <row r="144" spans="8:16" ht="14.25" customHeight="1" x14ac:dyDescent="0.15">
      <c r="H144" s="6"/>
      <c r="I144" s="6"/>
      <c r="J144" s="6"/>
      <c r="K144" s="6"/>
      <c r="L144" s="6"/>
      <c r="M144" s="6"/>
      <c r="N144" s="6"/>
      <c r="O144" s="6"/>
      <c r="P144" s="6"/>
    </row>
    <row r="145" spans="8:16" ht="14.25" customHeight="1" x14ac:dyDescent="0.15">
      <c r="H145" s="6"/>
      <c r="I145" s="6"/>
      <c r="J145" s="6"/>
      <c r="K145" s="6"/>
      <c r="L145" s="6"/>
      <c r="M145" s="6"/>
      <c r="N145" s="6"/>
      <c r="O145" s="6"/>
      <c r="P145" s="6"/>
    </row>
    <row r="146" spans="8:16" ht="14.25" customHeight="1" x14ac:dyDescent="0.15">
      <c r="H146" s="6"/>
      <c r="I146" s="6"/>
      <c r="J146" s="6"/>
      <c r="K146" s="6"/>
      <c r="L146" s="6"/>
      <c r="M146" s="6"/>
      <c r="N146" s="6"/>
      <c r="O146" s="6"/>
      <c r="P146" s="6"/>
    </row>
    <row r="147" spans="8:16" ht="14.25" customHeight="1" x14ac:dyDescent="0.15">
      <c r="H147" s="6"/>
      <c r="I147" s="6"/>
      <c r="J147" s="6"/>
      <c r="K147" s="6"/>
      <c r="L147" s="6"/>
      <c r="M147" s="6"/>
      <c r="N147" s="6"/>
      <c r="O147" s="6"/>
      <c r="P147" s="6"/>
    </row>
    <row r="148" spans="8:16" ht="14.25" customHeight="1" x14ac:dyDescent="0.15">
      <c r="H148" s="6"/>
      <c r="I148" s="6"/>
      <c r="J148" s="6"/>
      <c r="K148" s="6"/>
      <c r="L148" s="6"/>
      <c r="M148" s="6"/>
      <c r="N148" s="6"/>
      <c r="O148" s="6"/>
      <c r="P148" s="6"/>
    </row>
    <row r="149" spans="8:16" ht="14.25" customHeight="1" x14ac:dyDescent="0.15">
      <c r="H149" s="6"/>
      <c r="I149" s="6"/>
      <c r="J149" s="6"/>
      <c r="K149" s="6"/>
      <c r="L149" s="6"/>
      <c r="M149" s="6"/>
      <c r="N149" s="6"/>
      <c r="O149" s="6"/>
      <c r="P149" s="6"/>
    </row>
    <row r="150" spans="8:16" ht="14.25" customHeight="1" x14ac:dyDescent="0.15">
      <c r="H150" s="6"/>
      <c r="I150" s="6"/>
      <c r="J150" s="6"/>
      <c r="K150" s="6"/>
      <c r="L150" s="6"/>
      <c r="M150" s="6"/>
      <c r="N150" s="6"/>
      <c r="O150" s="6"/>
      <c r="P150" s="6"/>
    </row>
    <row r="151" spans="8:16" ht="14.25" customHeight="1" x14ac:dyDescent="0.15">
      <c r="H151" s="6"/>
      <c r="I151" s="6"/>
      <c r="J151" s="6"/>
      <c r="K151" s="6"/>
      <c r="L151" s="6"/>
      <c r="M151" s="6"/>
      <c r="N151" s="6"/>
      <c r="O151" s="6"/>
      <c r="P151" s="6"/>
    </row>
    <row r="152" spans="8:16" ht="14.25" customHeight="1" x14ac:dyDescent="0.15">
      <c r="H152" s="6"/>
      <c r="I152" s="6"/>
      <c r="J152" s="6"/>
      <c r="K152" s="6"/>
      <c r="L152" s="6"/>
      <c r="M152" s="6"/>
      <c r="N152" s="6"/>
      <c r="O152" s="6"/>
      <c r="P152" s="6"/>
    </row>
    <row r="153" spans="8:16" ht="14.25" customHeight="1" x14ac:dyDescent="0.15">
      <c r="H153" s="6"/>
      <c r="I153" s="6"/>
      <c r="J153" s="6"/>
      <c r="K153" s="6"/>
      <c r="L153" s="6"/>
      <c r="M153" s="6"/>
      <c r="N153" s="6"/>
      <c r="O153" s="6"/>
      <c r="P153" s="6"/>
    </row>
    <row r="154" spans="8:16" ht="14.25" customHeight="1" x14ac:dyDescent="0.15">
      <c r="H154" s="6"/>
      <c r="I154" s="6"/>
      <c r="J154" s="6"/>
      <c r="K154" s="6"/>
      <c r="L154" s="6"/>
      <c r="M154" s="6"/>
      <c r="N154" s="6"/>
      <c r="O154" s="6"/>
      <c r="P154" s="6"/>
    </row>
    <row r="155" spans="8:16" ht="14.25" customHeight="1" x14ac:dyDescent="0.15">
      <c r="H155" s="6"/>
      <c r="I155" s="6"/>
      <c r="J155" s="6"/>
      <c r="K155" s="6"/>
      <c r="L155" s="6"/>
      <c r="M155" s="6"/>
      <c r="N155" s="6"/>
      <c r="O155" s="6"/>
      <c r="P155" s="6"/>
    </row>
    <row r="156" spans="8:16" ht="14.25" customHeight="1" x14ac:dyDescent="0.15">
      <c r="H156" s="6"/>
      <c r="I156" s="6"/>
      <c r="J156" s="6"/>
      <c r="K156" s="6"/>
      <c r="L156" s="6"/>
      <c r="M156" s="6"/>
      <c r="N156" s="6"/>
      <c r="O156" s="6"/>
      <c r="P156" s="6"/>
    </row>
    <row r="157" spans="8:16" ht="14.25" customHeight="1" x14ac:dyDescent="0.15">
      <c r="H157" s="6"/>
      <c r="I157" s="6"/>
      <c r="J157" s="6"/>
      <c r="K157" s="6"/>
      <c r="L157" s="6"/>
      <c r="M157" s="6"/>
      <c r="N157" s="6"/>
      <c r="O157" s="6"/>
      <c r="P157" s="6"/>
    </row>
    <row r="158" spans="8:16" ht="14.25" customHeight="1" x14ac:dyDescent="0.15">
      <c r="H158" s="6"/>
      <c r="I158" s="6"/>
      <c r="J158" s="6"/>
      <c r="K158" s="6"/>
      <c r="L158" s="6"/>
      <c r="M158" s="6"/>
      <c r="N158" s="6"/>
      <c r="O158" s="6"/>
      <c r="P158" s="6"/>
    </row>
    <row r="159" spans="8:16" ht="14.25" customHeight="1" x14ac:dyDescent="0.15">
      <c r="H159" s="6"/>
      <c r="I159" s="6"/>
      <c r="J159" s="6"/>
      <c r="K159" s="6"/>
      <c r="L159" s="6"/>
      <c r="M159" s="6"/>
      <c r="N159" s="6"/>
      <c r="O159" s="6"/>
      <c r="P159" s="6"/>
    </row>
    <row r="160" spans="8:16" ht="14.25" customHeight="1" x14ac:dyDescent="0.15">
      <c r="H160" s="6"/>
      <c r="I160" s="6"/>
      <c r="J160" s="6"/>
      <c r="K160" s="6"/>
      <c r="L160" s="6"/>
      <c r="M160" s="6"/>
      <c r="N160" s="6"/>
      <c r="O160" s="6"/>
      <c r="P160" s="6"/>
    </row>
    <row r="161" spans="8:16" ht="14.25" customHeight="1" x14ac:dyDescent="0.15">
      <c r="H161" s="6"/>
      <c r="I161" s="6"/>
      <c r="J161" s="6"/>
      <c r="K161" s="6"/>
      <c r="L161" s="6"/>
      <c r="M161" s="6"/>
      <c r="N161" s="6"/>
      <c r="O161" s="6"/>
      <c r="P161" s="6"/>
    </row>
    <row r="162" spans="8:16" ht="14.25" customHeight="1" x14ac:dyDescent="0.15">
      <c r="H162" s="6"/>
      <c r="I162" s="6"/>
      <c r="J162" s="6"/>
      <c r="K162" s="6"/>
      <c r="L162" s="6"/>
      <c r="M162" s="6"/>
      <c r="N162" s="6"/>
      <c r="O162" s="6"/>
      <c r="P162" s="6"/>
    </row>
    <row r="163" spans="8:16" ht="14.25" customHeight="1" x14ac:dyDescent="0.15">
      <c r="H163" s="6"/>
      <c r="I163" s="6"/>
      <c r="J163" s="6"/>
      <c r="K163" s="6"/>
      <c r="L163" s="6"/>
      <c r="M163" s="6"/>
      <c r="N163" s="6"/>
      <c r="O163" s="6"/>
      <c r="P163" s="6"/>
    </row>
    <row r="164" spans="8:16" ht="14.25" customHeight="1" x14ac:dyDescent="0.15">
      <c r="H164" s="6"/>
      <c r="I164" s="6"/>
      <c r="J164" s="6"/>
      <c r="K164" s="6"/>
      <c r="L164" s="6"/>
      <c r="M164" s="6"/>
      <c r="N164" s="6"/>
      <c r="O164" s="6"/>
      <c r="P164" s="6"/>
    </row>
    <row r="165" spans="8:16" ht="14.25" customHeight="1" x14ac:dyDescent="0.15">
      <c r="H165" s="6"/>
      <c r="I165" s="6"/>
      <c r="J165" s="6"/>
      <c r="K165" s="6"/>
      <c r="L165" s="6"/>
      <c r="M165" s="6"/>
      <c r="N165" s="6"/>
      <c r="O165" s="6"/>
      <c r="P165" s="6"/>
    </row>
    <row r="166" spans="8:16" ht="14.25" customHeight="1" x14ac:dyDescent="0.15">
      <c r="H166" s="6"/>
      <c r="I166" s="6"/>
      <c r="J166" s="6"/>
      <c r="K166" s="6"/>
      <c r="L166" s="6"/>
      <c r="M166" s="6"/>
      <c r="N166" s="6"/>
      <c r="O166" s="6"/>
      <c r="P166" s="6"/>
    </row>
    <row r="167" spans="8:16" ht="14.25" customHeight="1" x14ac:dyDescent="0.15">
      <c r="H167" s="6"/>
      <c r="I167" s="6"/>
      <c r="J167" s="6"/>
      <c r="K167" s="6"/>
      <c r="L167" s="6"/>
      <c r="M167" s="6"/>
      <c r="N167" s="6"/>
      <c r="O167" s="6"/>
      <c r="P167" s="6"/>
    </row>
    <row r="168" spans="8:16" ht="14.25" customHeight="1" x14ac:dyDescent="0.15">
      <c r="H168" s="6"/>
      <c r="I168" s="6"/>
      <c r="J168" s="6"/>
      <c r="K168" s="6"/>
      <c r="L168" s="6"/>
      <c r="M168" s="6"/>
      <c r="N168" s="6"/>
      <c r="O168" s="6"/>
      <c r="P168" s="6"/>
    </row>
    <row r="169" spans="8:16" ht="14.25" customHeight="1" x14ac:dyDescent="0.15">
      <c r="H169" s="6"/>
      <c r="I169" s="6"/>
      <c r="J169" s="6"/>
      <c r="K169" s="6"/>
      <c r="L169" s="6"/>
      <c r="M169" s="6"/>
      <c r="N169" s="6"/>
      <c r="O169" s="6"/>
      <c r="P169" s="6"/>
    </row>
    <row r="170" spans="8:16" ht="14.25" customHeight="1" x14ac:dyDescent="0.15">
      <c r="H170" s="6"/>
      <c r="I170" s="6"/>
      <c r="J170" s="6"/>
      <c r="K170" s="6"/>
      <c r="L170" s="6"/>
      <c r="M170" s="6"/>
      <c r="N170" s="6"/>
      <c r="O170" s="6"/>
      <c r="P170" s="6"/>
    </row>
    <row r="171" spans="8:16" ht="14.25" customHeight="1" x14ac:dyDescent="0.15">
      <c r="H171" s="6"/>
      <c r="I171" s="6"/>
      <c r="J171" s="6"/>
      <c r="K171" s="6"/>
      <c r="L171" s="6"/>
      <c r="M171" s="6"/>
      <c r="N171" s="6"/>
      <c r="O171" s="6"/>
      <c r="P171" s="6"/>
    </row>
    <row r="172" spans="8:16" ht="14.25" customHeight="1" x14ac:dyDescent="0.15">
      <c r="H172" s="6"/>
      <c r="I172" s="6"/>
      <c r="J172" s="6"/>
      <c r="K172" s="6"/>
      <c r="L172" s="6"/>
      <c r="M172" s="6"/>
      <c r="N172" s="6"/>
      <c r="O172" s="6"/>
      <c r="P172" s="6"/>
    </row>
    <row r="173" spans="8:16" ht="14.25" customHeight="1" x14ac:dyDescent="0.15">
      <c r="H173" s="6"/>
      <c r="I173" s="6"/>
      <c r="J173" s="6"/>
      <c r="K173" s="6"/>
      <c r="L173" s="6"/>
      <c r="M173" s="6"/>
      <c r="N173" s="6"/>
      <c r="O173" s="6"/>
      <c r="P173" s="6"/>
    </row>
    <row r="174" spans="8:16" ht="14.25" customHeight="1" x14ac:dyDescent="0.15">
      <c r="H174" s="6"/>
      <c r="I174" s="6"/>
      <c r="J174" s="6"/>
      <c r="K174" s="6"/>
      <c r="L174" s="6"/>
      <c r="M174" s="6"/>
      <c r="N174" s="6"/>
      <c r="O174" s="6"/>
      <c r="P174" s="6"/>
    </row>
    <row r="175" spans="8:16" ht="14.25" customHeight="1" x14ac:dyDescent="0.15">
      <c r="H175" s="6"/>
      <c r="I175" s="6"/>
      <c r="J175" s="6"/>
      <c r="K175" s="6"/>
      <c r="L175" s="6"/>
      <c r="M175" s="6"/>
      <c r="N175" s="6"/>
      <c r="O175" s="6"/>
      <c r="P175" s="6"/>
    </row>
    <row r="176" spans="8:16" ht="14.25" customHeight="1" x14ac:dyDescent="0.15">
      <c r="H176" s="6"/>
      <c r="I176" s="6"/>
      <c r="J176" s="6"/>
      <c r="K176" s="6"/>
      <c r="L176" s="6"/>
      <c r="M176" s="6"/>
      <c r="N176" s="6"/>
      <c r="O176" s="6"/>
      <c r="P176" s="6"/>
    </row>
    <row r="177" spans="8:16" ht="14.25" customHeight="1" x14ac:dyDescent="0.15">
      <c r="H177" s="6"/>
      <c r="I177" s="6"/>
      <c r="J177" s="6"/>
      <c r="K177" s="6"/>
      <c r="L177" s="6"/>
      <c r="M177" s="6"/>
      <c r="N177" s="6"/>
      <c r="O177" s="6"/>
      <c r="P177" s="6"/>
    </row>
    <row r="178" spans="8:16" ht="14.25" customHeight="1" x14ac:dyDescent="0.15">
      <c r="H178" s="6"/>
      <c r="I178" s="6"/>
      <c r="J178" s="6"/>
      <c r="K178" s="6"/>
      <c r="L178" s="6"/>
      <c r="M178" s="6"/>
      <c r="N178" s="6"/>
      <c r="O178" s="6"/>
      <c r="P178" s="6"/>
    </row>
    <row r="179" spans="8:16" ht="14.25" customHeight="1" x14ac:dyDescent="0.15">
      <c r="H179" s="6"/>
      <c r="I179" s="6"/>
      <c r="J179" s="6"/>
      <c r="K179" s="6"/>
      <c r="L179" s="6"/>
      <c r="M179" s="6"/>
      <c r="N179" s="6"/>
      <c r="O179" s="6"/>
      <c r="P179" s="6"/>
    </row>
    <row r="180" spans="8:16" ht="14.25" customHeight="1" x14ac:dyDescent="0.15">
      <c r="H180" s="6"/>
      <c r="I180" s="6"/>
      <c r="J180" s="6"/>
      <c r="K180" s="6"/>
      <c r="L180" s="6"/>
      <c r="M180" s="6"/>
      <c r="N180" s="6"/>
      <c r="O180" s="6"/>
      <c r="P180" s="6"/>
    </row>
    <row r="181" spans="8:16" ht="14.25" customHeight="1" x14ac:dyDescent="0.15">
      <c r="H181" s="6"/>
      <c r="I181" s="6"/>
      <c r="J181" s="6"/>
      <c r="K181" s="6"/>
      <c r="L181" s="6"/>
      <c r="M181" s="6"/>
      <c r="N181" s="6"/>
      <c r="O181" s="6"/>
      <c r="P181" s="6"/>
    </row>
    <row r="182" spans="8:16" ht="14.25" customHeight="1" x14ac:dyDescent="0.15">
      <c r="H182" s="6"/>
      <c r="I182" s="6"/>
      <c r="J182" s="6"/>
      <c r="K182" s="6"/>
      <c r="L182" s="6"/>
      <c r="M182" s="6"/>
      <c r="N182" s="6"/>
      <c r="O182" s="6"/>
      <c r="P182" s="6"/>
    </row>
    <row r="183" spans="8:16" ht="14.25" customHeight="1" x14ac:dyDescent="0.15">
      <c r="H183" s="6"/>
      <c r="I183" s="6"/>
      <c r="J183" s="6"/>
      <c r="K183" s="6"/>
      <c r="L183" s="6"/>
      <c r="M183" s="6"/>
      <c r="N183" s="6"/>
      <c r="O183" s="6"/>
      <c r="P183" s="6"/>
    </row>
    <row r="184" spans="8:16" ht="14.25" customHeight="1" x14ac:dyDescent="0.15">
      <c r="H184" s="6"/>
      <c r="I184" s="6"/>
      <c r="J184" s="6"/>
      <c r="K184" s="6"/>
      <c r="L184" s="6"/>
      <c r="M184" s="6"/>
      <c r="N184" s="6"/>
      <c r="O184" s="6"/>
      <c r="P184" s="6"/>
    </row>
    <row r="185" spans="8:16" ht="14.25" customHeight="1" x14ac:dyDescent="0.15">
      <c r="H185" s="6"/>
      <c r="I185" s="6"/>
      <c r="J185" s="6"/>
      <c r="K185" s="6"/>
      <c r="L185" s="6"/>
      <c r="M185" s="6"/>
      <c r="N185" s="6"/>
      <c r="O185" s="6"/>
      <c r="P185" s="6"/>
    </row>
    <row r="186" spans="8:16" ht="14.25" customHeight="1" x14ac:dyDescent="0.15">
      <c r="H186" s="6"/>
      <c r="I186" s="6"/>
      <c r="J186" s="6"/>
      <c r="K186" s="6"/>
      <c r="L186" s="6"/>
      <c r="M186" s="6"/>
      <c r="N186" s="6"/>
      <c r="O186" s="6"/>
      <c r="P186" s="6"/>
    </row>
    <row r="187" spans="8:16" ht="14.25" customHeight="1" x14ac:dyDescent="0.15">
      <c r="H187" s="6"/>
      <c r="I187" s="6"/>
      <c r="J187" s="6"/>
      <c r="K187" s="6"/>
      <c r="L187" s="6"/>
      <c r="M187" s="6"/>
      <c r="N187" s="6"/>
      <c r="O187" s="6"/>
      <c r="P187" s="6"/>
    </row>
    <row r="188" spans="8:16" ht="14.25" customHeight="1" x14ac:dyDescent="0.15">
      <c r="H188" s="6"/>
      <c r="I188" s="6"/>
      <c r="J188" s="6"/>
      <c r="K188" s="6"/>
      <c r="L188" s="6"/>
      <c r="M188" s="6"/>
      <c r="N188" s="6"/>
      <c r="O188" s="6"/>
      <c r="P188" s="6"/>
    </row>
    <row r="189" spans="8:16" ht="14.25" customHeight="1" x14ac:dyDescent="0.15">
      <c r="H189" s="6"/>
      <c r="I189" s="6"/>
      <c r="J189" s="6"/>
      <c r="K189" s="6"/>
      <c r="L189" s="6"/>
      <c r="M189" s="6"/>
      <c r="N189" s="6"/>
      <c r="O189" s="6"/>
      <c r="P189" s="6"/>
    </row>
    <row r="190" spans="8:16" ht="14.25" customHeight="1" x14ac:dyDescent="0.15">
      <c r="H190" s="6"/>
      <c r="I190" s="6"/>
      <c r="J190" s="6"/>
      <c r="K190" s="6"/>
      <c r="L190" s="6"/>
      <c r="M190" s="6"/>
      <c r="N190" s="6"/>
      <c r="O190" s="6"/>
      <c r="P190" s="6"/>
    </row>
    <row r="191" spans="8:16" ht="14.25" customHeight="1" x14ac:dyDescent="0.15">
      <c r="H191" s="6"/>
      <c r="I191" s="6"/>
      <c r="J191" s="6"/>
      <c r="K191" s="6"/>
      <c r="L191" s="6"/>
      <c r="M191" s="6"/>
      <c r="N191" s="6"/>
      <c r="O191" s="6"/>
      <c r="P191" s="6"/>
    </row>
    <row r="192" spans="8:16" ht="14.25" customHeight="1" x14ac:dyDescent="0.15">
      <c r="H192" s="6"/>
      <c r="I192" s="6"/>
      <c r="J192" s="6"/>
      <c r="K192" s="6"/>
      <c r="L192" s="6"/>
      <c r="M192" s="6"/>
      <c r="N192" s="6"/>
      <c r="O192" s="6"/>
      <c r="P192" s="6"/>
    </row>
    <row r="193" spans="8:16" ht="14.25" customHeight="1" x14ac:dyDescent="0.15">
      <c r="H193" s="6"/>
      <c r="I193" s="6"/>
      <c r="J193" s="6"/>
      <c r="K193" s="6"/>
      <c r="L193" s="6"/>
      <c r="M193" s="6"/>
      <c r="N193" s="6"/>
      <c r="O193" s="6"/>
      <c r="P193" s="6"/>
    </row>
    <row r="194" spans="8:16" ht="14.25" customHeight="1" x14ac:dyDescent="0.15">
      <c r="H194" s="6"/>
      <c r="I194" s="6"/>
      <c r="J194" s="6"/>
      <c r="K194" s="6"/>
      <c r="L194" s="6"/>
      <c r="M194" s="6"/>
      <c r="N194" s="6"/>
      <c r="O194" s="6"/>
      <c r="P194" s="6"/>
    </row>
    <row r="195" spans="8:16" ht="14.25" customHeight="1" x14ac:dyDescent="0.15">
      <c r="H195" s="6"/>
      <c r="I195" s="6"/>
      <c r="J195" s="6"/>
      <c r="K195" s="6"/>
      <c r="L195" s="6"/>
      <c r="M195" s="6"/>
      <c r="N195" s="6"/>
      <c r="O195" s="6"/>
      <c r="P195" s="6"/>
    </row>
    <row r="196" spans="8:16" ht="14.25" customHeight="1" x14ac:dyDescent="0.15">
      <c r="H196" s="6"/>
      <c r="I196" s="6"/>
      <c r="J196" s="6"/>
      <c r="K196" s="6"/>
      <c r="L196" s="6"/>
      <c r="M196" s="6"/>
      <c r="N196" s="6"/>
      <c r="O196" s="6"/>
      <c r="P196" s="6"/>
    </row>
    <row r="197" spans="8:16" ht="14.25" customHeight="1" x14ac:dyDescent="0.15">
      <c r="H197" s="6"/>
      <c r="I197" s="6"/>
      <c r="J197" s="6"/>
      <c r="K197" s="6"/>
      <c r="L197" s="6"/>
      <c r="M197" s="6"/>
      <c r="N197" s="6"/>
      <c r="O197" s="6"/>
      <c r="P197" s="6"/>
    </row>
    <row r="198" spans="8:16" ht="14.25" customHeight="1" x14ac:dyDescent="0.15">
      <c r="H198" s="6"/>
      <c r="I198" s="6"/>
      <c r="J198" s="6"/>
      <c r="K198" s="6"/>
      <c r="L198" s="6"/>
      <c r="M198" s="6"/>
      <c r="N198" s="6"/>
      <c r="O198" s="6"/>
      <c r="P198" s="6"/>
    </row>
    <row r="199" spans="8:16" ht="14.25" customHeight="1" x14ac:dyDescent="0.15">
      <c r="H199" s="6"/>
      <c r="I199" s="6"/>
      <c r="J199" s="6"/>
      <c r="K199" s="6"/>
      <c r="L199" s="6"/>
      <c r="M199" s="6"/>
      <c r="N199" s="6"/>
      <c r="O199" s="6"/>
      <c r="P199" s="6"/>
    </row>
    <row r="200" spans="8:16" ht="14.25" customHeight="1" x14ac:dyDescent="0.15">
      <c r="H200" s="6"/>
      <c r="I200" s="6"/>
      <c r="J200" s="6"/>
      <c r="K200" s="6"/>
      <c r="L200" s="6"/>
      <c r="M200" s="6"/>
      <c r="N200" s="6"/>
      <c r="O200" s="6"/>
      <c r="P200" s="6"/>
    </row>
    <row r="201" spans="8:16" ht="14.25" customHeight="1" x14ac:dyDescent="0.15">
      <c r="H201" s="6"/>
      <c r="I201" s="6"/>
      <c r="J201" s="6"/>
      <c r="K201" s="6"/>
      <c r="L201" s="6"/>
      <c r="M201" s="6"/>
      <c r="N201" s="6"/>
      <c r="O201" s="6"/>
      <c r="P201" s="6"/>
    </row>
    <row r="202" spans="8:16" ht="14.25" customHeight="1" x14ac:dyDescent="0.15">
      <c r="H202" s="6"/>
      <c r="I202" s="6"/>
      <c r="J202" s="6"/>
      <c r="K202" s="6"/>
      <c r="L202" s="6"/>
      <c r="M202" s="6"/>
      <c r="N202" s="6"/>
      <c r="O202" s="6"/>
      <c r="P202" s="6"/>
    </row>
    <row r="203" spans="8:16" ht="14.25" customHeight="1" x14ac:dyDescent="0.15">
      <c r="H203" s="6"/>
      <c r="I203" s="6"/>
      <c r="J203" s="6"/>
      <c r="K203" s="6"/>
      <c r="L203" s="6"/>
      <c r="M203" s="6"/>
      <c r="N203" s="6"/>
      <c r="O203" s="6"/>
      <c r="P203" s="6"/>
    </row>
    <row r="204" spans="8:16" ht="14.25" customHeight="1" x14ac:dyDescent="0.15">
      <c r="H204" s="6"/>
      <c r="I204" s="6"/>
      <c r="J204" s="6"/>
      <c r="K204" s="6"/>
      <c r="L204" s="6"/>
      <c r="M204" s="6"/>
      <c r="N204" s="6"/>
      <c r="O204" s="6"/>
      <c r="P204" s="6"/>
    </row>
    <row r="205" spans="8:16" ht="14.25" customHeight="1" x14ac:dyDescent="0.15">
      <c r="H205" s="6"/>
      <c r="I205" s="6"/>
      <c r="J205" s="6"/>
      <c r="K205" s="6"/>
      <c r="L205" s="6"/>
      <c r="M205" s="6"/>
      <c r="N205" s="6"/>
      <c r="O205" s="6"/>
      <c r="P205" s="6"/>
    </row>
    <row r="206" spans="8:16" ht="14.25" customHeight="1" x14ac:dyDescent="0.15">
      <c r="H206" s="6"/>
      <c r="I206" s="6"/>
      <c r="J206" s="6"/>
      <c r="K206" s="6"/>
      <c r="L206" s="6"/>
      <c r="M206" s="6"/>
      <c r="N206" s="6"/>
      <c r="O206" s="6"/>
      <c r="P206" s="6"/>
    </row>
    <row r="207" spans="8:16" ht="14.25" customHeight="1" x14ac:dyDescent="0.15">
      <c r="H207" s="6"/>
      <c r="I207" s="6"/>
      <c r="J207" s="6"/>
      <c r="K207" s="6"/>
      <c r="L207" s="6"/>
      <c r="M207" s="6"/>
      <c r="N207" s="6"/>
      <c r="O207" s="6"/>
      <c r="P207" s="6"/>
    </row>
    <row r="208" spans="8:16" ht="14.25" customHeight="1" x14ac:dyDescent="0.15">
      <c r="H208" s="6"/>
      <c r="I208" s="6"/>
      <c r="J208" s="6"/>
      <c r="K208" s="6"/>
      <c r="L208" s="6"/>
      <c r="M208" s="6"/>
      <c r="N208" s="6"/>
      <c r="O208" s="6"/>
      <c r="P208" s="6"/>
    </row>
    <row r="209" spans="8:16" ht="14.25" customHeight="1" x14ac:dyDescent="0.15">
      <c r="H209" s="6"/>
      <c r="I209" s="6"/>
      <c r="J209" s="6"/>
      <c r="K209" s="6"/>
      <c r="L209" s="6"/>
      <c r="M209" s="6"/>
      <c r="N209" s="6"/>
      <c r="O209" s="6"/>
      <c r="P209" s="6"/>
    </row>
    <row r="210" spans="8:16" ht="14.25" customHeight="1" x14ac:dyDescent="0.15">
      <c r="H210" s="6"/>
      <c r="I210" s="6"/>
      <c r="J210" s="6"/>
      <c r="K210" s="6"/>
      <c r="L210" s="6"/>
      <c r="M210" s="6"/>
      <c r="N210" s="6"/>
      <c r="O210" s="6"/>
      <c r="P210" s="6"/>
    </row>
    <row r="211" spans="8:16" ht="14.25" customHeight="1" x14ac:dyDescent="0.15">
      <c r="H211" s="6"/>
      <c r="I211" s="6"/>
      <c r="J211" s="6"/>
      <c r="K211" s="6"/>
      <c r="L211" s="6"/>
      <c r="M211" s="6"/>
      <c r="N211" s="6"/>
      <c r="O211" s="6"/>
      <c r="P211" s="6"/>
    </row>
    <row r="212" spans="8:16" ht="14.25" customHeight="1" x14ac:dyDescent="0.15">
      <c r="H212" s="6"/>
      <c r="I212" s="6"/>
      <c r="J212" s="6"/>
      <c r="K212" s="6"/>
      <c r="L212" s="6"/>
      <c r="M212" s="6"/>
      <c r="N212" s="6"/>
      <c r="O212" s="6"/>
      <c r="P212" s="6"/>
    </row>
    <row r="213" spans="8:16" ht="14.25" customHeight="1" x14ac:dyDescent="0.15">
      <c r="H213" s="6"/>
      <c r="I213" s="6"/>
      <c r="J213" s="6"/>
      <c r="K213" s="6"/>
      <c r="L213" s="6"/>
      <c r="M213" s="6"/>
      <c r="N213" s="6"/>
      <c r="O213" s="6"/>
      <c r="P213" s="6"/>
    </row>
    <row r="214" spans="8:16" ht="14.25" customHeight="1" x14ac:dyDescent="0.15">
      <c r="H214" s="6"/>
      <c r="I214" s="6"/>
      <c r="J214" s="6"/>
      <c r="K214" s="6"/>
      <c r="L214" s="6"/>
      <c r="M214" s="6"/>
      <c r="N214" s="6"/>
      <c r="O214" s="6"/>
      <c r="P214" s="6"/>
    </row>
    <row r="215" spans="8:16" ht="14.25" customHeight="1" x14ac:dyDescent="0.15">
      <c r="H215" s="6"/>
      <c r="I215" s="6"/>
      <c r="J215" s="6"/>
      <c r="K215" s="6"/>
      <c r="L215" s="6"/>
      <c r="M215" s="6"/>
      <c r="N215" s="6"/>
      <c r="O215" s="6"/>
      <c r="P215" s="6"/>
    </row>
    <row r="216" spans="8:16" ht="14.25" customHeight="1" x14ac:dyDescent="0.15">
      <c r="H216" s="6"/>
      <c r="I216" s="6"/>
      <c r="J216" s="6"/>
      <c r="K216" s="6"/>
      <c r="L216" s="6"/>
      <c r="M216" s="6"/>
      <c r="N216" s="6"/>
      <c r="O216" s="6"/>
      <c r="P216" s="6"/>
    </row>
    <row r="217" spans="8:16" ht="14.25" customHeight="1" x14ac:dyDescent="0.15">
      <c r="H217" s="6"/>
      <c r="I217" s="6"/>
      <c r="J217" s="6"/>
      <c r="K217" s="6"/>
      <c r="L217" s="6"/>
      <c r="M217" s="6"/>
      <c r="N217" s="6"/>
      <c r="O217" s="6"/>
      <c r="P217" s="6"/>
    </row>
    <row r="218" spans="8:16" ht="14.25" customHeight="1" x14ac:dyDescent="0.15">
      <c r="H218" s="6"/>
      <c r="I218" s="6"/>
      <c r="J218" s="6"/>
      <c r="K218" s="6"/>
      <c r="L218" s="6"/>
      <c r="M218" s="6"/>
      <c r="N218" s="6"/>
      <c r="O218" s="6"/>
      <c r="P218" s="6"/>
    </row>
    <row r="219" spans="8:16" ht="14.25" customHeight="1" x14ac:dyDescent="0.15">
      <c r="H219" s="6"/>
      <c r="I219" s="6"/>
      <c r="J219" s="6"/>
      <c r="K219" s="6"/>
      <c r="L219" s="6"/>
      <c r="M219" s="6"/>
      <c r="N219" s="6"/>
      <c r="O219" s="6"/>
      <c r="P219" s="6"/>
    </row>
    <row r="220" spans="8:16" ht="14.25" customHeight="1" x14ac:dyDescent="0.15">
      <c r="H220" s="6"/>
      <c r="I220" s="6"/>
      <c r="J220" s="6"/>
      <c r="K220" s="6"/>
      <c r="L220" s="6"/>
      <c r="M220" s="6"/>
      <c r="N220" s="6"/>
      <c r="O220" s="6"/>
      <c r="P220" s="6"/>
    </row>
    <row r="221" spans="8:16" ht="14.25" customHeight="1" x14ac:dyDescent="0.15">
      <c r="H221" s="6"/>
      <c r="I221" s="6"/>
      <c r="J221" s="6"/>
      <c r="K221" s="6"/>
      <c r="L221" s="6"/>
      <c r="M221" s="6"/>
      <c r="N221" s="6"/>
      <c r="O221" s="6"/>
      <c r="P221" s="6"/>
    </row>
    <row r="222" spans="8:16" ht="14.25" customHeight="1" x14ac:dyDescent="0.15">
      <c r="H222" s="6"/>
      <c r="I222" s="6"/>
      <c r="J222" s="6"/>
      <c r="K222" s="6"/>
      <c r="L222" s="6"/>
      <c r="M222" s="6"/>
      <c r="N222" s="6"/>
      <c r="O222" s="6"/>
      <c r="P222" s="6"/>
    </row>
    <row r="223" spans="8:16" ht="14.25" customHeight="1" x14ac:dyDescent="0.15">
      <c r="H223" s="6"/>
      <c r="I223" s="6"/>
      <c r="J223" s="6"/>
      <c r="K223" s="6"/>
      <c r="L223" s="6"/>
      <c r="M223" s="6"/>
      <c r="N223" s="6"/>
      <c r="O223" s="6"/>
      <c r="P223" s="6"/>
    </row>
    <row r="224" spans="8:16" ht="14.25" customHeight="1" x14ac:dyDescent="0.15">
      <c r="H224" s="6"/>
      <c r="I224" s="6"/>
      <c r="J224" s="6"/>
      <c r="K224" s="6"/>
      <c r="L224" s="6"/>
      <c r="M224" s="6"/>
      <c r="N224" s="6"/>
      <c r="O224" s="6"/>
      <c r="P224" s="6"/>
    </row>
    <row r="225" spans="8:16" ht="14.25" customHeight="1" x14ac:dyDescent="0.15">
      <c r="H225" s="6"/>
      <c r="I225" s="6"/>
      <c r="J225" s="6"/>
      <c r="K225" s="6"/>
      <c r="L225" s="6"/>
      <c r="M225" s="6"/>
      <c r="N225" s="6"/>
      <c r="O225" s="6"/>
      <c r="P225" s="6"/>
    </row>
    <row r="226" spans="8:16" ht="14.25" customHeight="1" x14ac:dyDescent="0.15">
      <c r="H226" s="6"/>
      <c r="I226" s="6"/>
      <c r="J226" s="6"/>
      <c r="K226" s="6"/>
      <c r="L226" s="6"/>
      <c r="M226" s="6"/>
      <c r="N226" s="6"/>
      <c r="O226" s="6"/>
      <c r="P226" s="6"/>
    </row>
    <row r="227" spans="8:16" ht="14.25" customHeight="1" x14ac:dyDescent="0.15">
      <c r="H227" s="6"/>
      <c r="I227" s="6"/>
      <c r="J227" s="6"/>
      <c r="K227" s="6"/>
      <c r="L227" s="6"/>
      <c r="M227" s="6"/>
      <c r="N227" s="6"/>
      <c r="O227" s="6"/>
      <c r="P227" s="6"/>
    </row>
    <row r="228" spans="8:16" ht="14.25" customHeight="1" x14ac:dyDescent="0.15">
      <c r="H228" s="6"/>
      <c r="I228" s="6"/>
      <c r="J228" s="6"/>
      <c r="K228" s="6"/>
      <c r="L228" s="6"/>
      <c r="M228" s="6"/>
      <c r="N228" s="6"/>
      <c r="O228" s="6"/>
      <c r="P228" s="6"/>
    </row>
    <row r="229" spans="8:16" ht="14.25" customHeight="1" x14ac:dyDescent="0.15">
      <c r="H229" s="6"/>
      <c r="I229" s="6"/>
      <c r="J229" s="6"/>
      <c r="K229" s="6"/>
      <c r="L229" s="6"/>
      <c r="M229" s="6"/>
      <c r="N229" s="6"/>
      <c r="O229" s="6"/>
      <c r="P229" s="6"/>
    </row>
    <row r="230" spans="8:16" ht="14.25" customHeight="1" x14ac:dyDescent="0.15">
      <c r="H230" s="6"/>
      <c r="I230" s="6"/>
      <c r="J230" s="6"/>
      <c r="K230" s="6"/>
      <c r="L230" s="6"/>
      <c r="M230" s="6"/>
      <c r="N230" s="6"/>
      <c r="O230" s="6"/>
      <c r="P230" s="6"/>
    </row>
    <row r="231" spans="8:16" ht="14.25" customHeight="1" x14ac:dyDescent="0.15">
      <c r="H231" s="6"/>
      <c r="I231" s="6"/>
      <c r="J231" s="6"/>
      <c r="K231" s="6"/>
      <c r="L231" s="6"/>
      <c r="M231" s="6"/>
      <c r="N231" s="6"/>
      <c r="O231" s="6"/>
      <c r="P231" s="6"/>
    </row>
    <row r="232" spans="8:16" ht="14.25" customHeight="1" x14ac:dyDescent="0.15">
      <c r="H232" s="6"/>
      <c r="I232" s="6"/>
      <c r="J232" s="6"/>
      <c r="K232" s="6"/>
      <c r="L232" s="6"/>
      <c r="M232" s="6"/>
      <c r="N232" s="6"/>
      <c r="O232" s="6"/>
      <c r="P232" s="6"/>
    </row>
    <row r="233" spans="8:16" ht="14.25" customHeight="1" x14ac:dyDescent="0.15">
      <c r="H233" s="6"/>
      <c r="I233" s="6"/>
      <c r="J233" s="6"/>
      <c r="K233" s="6"/>
      <c r="L233" s="6"/>
      <c r="M233" s="6"/>
      <c r="N233" s="6"/>
      <c r="O233" s="6"/>
      <c r="P233" s="6"/>
    </row>
    <row r="234" spans="8:16" ht="14.25" customHeight="1" x14ac:dyDescent="0.15">
      <c r="H234" s="6"/>
      <c r="I234" s="6"/>
      <c r="J234" s="6"/>
      <c r="K234" s="6"/>
      <c r="L234" s="6"/>
      <c r="M234" s="6"/>
      <c r="N234" s="6"/>
      <c r="O234" s="6"/>
      <c r="P234" s="6"/>
    </row>
    <row r="235" spans="8:16" ht="14.25" customHeight="1" x14ac:dyDescent="0.15">
      <c r="H235" s="6"/>
      <c r="I235" s="6"/>
      <c r="J235" s="6"/>
      <c r="K235" s="6"/>
      <c r="L235" s="6"/>
      <c r="M235" s="6"/>
      <c r="N235" s="6"/>
      <c r="O235" s="6"/>
      <c r="P235" s="6"/>
    </row>
    <row r="236" spans="8:16" ht="14.25" customHeight="1" x14ac:dyDescent="0.15">
      <c r="H236" s="6"/>
      <c r="I236" s="6"/>
      <c r="J236" s="6"/>
      <c r="K236" s="6"/>
      <c r="L236" s="6"/>
      <c r="M236" s="6"/>
      <c r="N236" s="6"/>
      <c r="O236" s="6"/>
      <c r="P236" s="6"/>
    </row>
    <row r="237" spans="8:16" ht="14.25" customHeight="1" x14ac:dyDescent="0.15">
      <c r="H237" s="6"/>
      <c r="I237" s="6"/>
      <c r="J237" s="6"/>
      <c r="K237" s="6"/>
      <c r="L237" s="6"/>
      <c r="M237" s="6"/>
      <c r="N237" s="6"/>
      <c r="O237" s="6"/>
      <c r="P237" s="6"/>
    </row>
    <row r="238" spans="8:16" ht="14.25" customHeight="1" x14ac:dyDescent="0.15">
      <c r="H238" s="6"/>
      <c r="I238" s="6"/>
      <c r="J238" s="6"/>
      <c r="K238" s="6"/>
      <c r="L238" s="6"/>
      <c r="M238" s="6"/>
      <c r="N238" s="6"/>
      <c r="O238" s="6"/>
      <c r="P238" s="6"/>
    </row>
    <row r="239" spans="8:16" ht="14.25" customHeight="1" x14ac:dyDescent="0.15">
      <c r="H239" s="6"/>
      <c r="I239" s="6"/>
      <c r="J239" s="6"/>
      <c r="K239" s="6"/>
      <c r="L239" s="6"/>
      <c r="M239" s="6"/>
      <c r="N239" s="6"/>
      <c r="O239" s="6"/>
      <c r="P239" s="6"/>
    </row>
    <row r="240" spans="8:16" ht="14.25" customHeight="1" x14ac:dyDescent="0.15">
      <c r="H240" s="6"/>
      <c r="I240" s="6"/>
      <c r="J240" s="6"/>
      <c r="K240" s="6"/>
      <c r="L240" s="6"/>
      <c r="M240" s="6"/>
      <c r="N240" s="6"/>
      <c r="O240" s="6"/>
      <c r="P240" s="6"/>
    </row>
    <row r="241" spans="8:16" ht="14.25" customHeight="1" x14ac:dyDescent="0.15">
      <c r="H241" s="6"/>
      <c r="I241" s="6"/>
      <c r="J241" s="6"/>
      <c r="K241" s="6"/>
      <c r="L241" s="6"/>
      <c r="M241" s="6"/>
      <c r="N241" s="6"/>
      <c r="O241" s="6"/>
      <c r="P241" s="6"/>
    </row>
    <row r="242" spans="8:16" ht="14.25" customHeight="1" x14ac:dyDescent="0.15">
      <c r="H242" s="6"/>
      <c r="I242" s="6"/>
      <c r="J242" s="6"/>
      <c r="K242" s="6"/>
      <c r="L242" s="6"/>
      <c r="M242" s="6"/>
      <c r="N242" s="6"/>
      <c r="O242" s="6"/>
      <c r="P242" s="6"/>
    </row>
    <row r="243" spans="8:16" ht="14.25" customHeight="1" x14ac:dyDescent="0.15">
      <c r="H243" s="6"/>
      <c r="I243" s="6"/>
      <c r="J243" s="6"/>
      <c r="K243" s="6"/>
      <c r="L243" s="6"/>
      <c r="M243" s="6"/>
      <c r="N243" s="6"/>
      <c r="O243" s="6"/>
      <c r="P243" s="6"/>
    </row>
    <row r="244" spans="8:16" ht="14.25" customHeight="1" x14ac:dyDescent="0.15">
      <c r="H244" s="6"/>
      <c r="I244" s="6"/>
      <c r="J244" s="6"/>
      <c r="K244" s="6"/>
      <c r="L244" s="6"/>
      <c r="M244" s="6"/>
      <c r="N244" s="6"/>
      <c r="O244" s="6"/>
      <c r="P244" s="6"/>
    </row>
    <row r="245" spans="8:16" ht="14.25" customHeight="1" x14ac:dyDescent="0.15">
      <c r="H245" s="6"/>
      <c r="I245" s="6"/>
      <c r="J245" s="6"/>
      <c r="K245" s="6"/>
      <c r="L245" s="6"/>
      <c r="M245" s="6"/>
      <c r="N245" s="6"/>
      <c r="O245" s="6"/>
      <c r="P245" s="6"/>
    </row>
    <row r="246" spans="8:16" ht="14.25" customHeight="1" x14ac:dyDescent="0.15">
      <c r="H246" s="6"/>
      <c r="I246" s="6"/>
      <c r="J246" s="6"/>
      <c r="K246" s="6"/>
      <c r="L246" s="6"/>
      <c r="M246" s="6"/>
      <c r="N246" s="6"/>
      <c r="O246" s="6"/>
      <c r="P246" s="6"/>
    </row>
    <row r="247" spans="8:16" ht="14.25" customHeight="1" x14ac:dyDescent="0.15">
      <c r="H247" s="6"/>
      <c r="I247" s="6"/>
      <c r="J247" s="6"/>
      <c r="K247" s="6"/>
      <c r="L247" s="6"/>
      <c r="M247" s="6"/>
      <c r="N247" s="6"/>
      <c r="O247" s="6"/>
      <c r="P247" s="6"/>
    </row>
    <row r="248" spans="8:16" ht="14.25" customHeight="1" x14ac:dyDescent="0.15">
      <c r="H248" s="6"/>
      <c r="I248" s="6"/>
      <c r="J248" s="6"/>
      <c r="K248" s="6"/>
      <c r="L248" s="6"/>
      <c r="M248" s="6"/>
      <c r="N248" s="6"/>
      <c r="O248" s="6"/>
      <c r="P248" s="6"/>
    </row>
    <row r="249" spans="8:16" ht="14.25" customHeight="1" x14ac:dyDescent="0.15">
      <c r="H249" s="6"/>
      <c r="I249" s="6"/>
      <c r="J249" s="6"/>
      <c r="K249" s="6"/>
      <c r="L249" s="6"/>
      <c r="M249" s="6"/>
      <c r="N249" s="6"/>
      <c r="O249" s="6"/>
      <c r="P249" s="6"/>
    </row>
    <row r="250" spans="8:16" ht="14.25" customHeight="1" x14ac:dyDescent="0.15">
      <c r="H250" s="6"/>
      <c r="I250" s="6"/>
      <c r="J250" s="6"/>
      <c r="K250" s="6"/>
      <c r="L250" s="6"/>
      <c r="M250" s="6"/>
      <c r="N250" s="6"/>
      <c r="O250" s="6"/>
      <c r="P250" s="6"/>
    </row>
    <row r="251" spans="8:16" ht="14.25" customHeight="1" x14ac:dyDescent="0.15">
      <c r="H251" s="6"/>
      <c r="I251" s="6"/>
      <c r="J251" s="6"/>
      <c r="K251" s="6"/>
      <c r="L251" s="6"/>
      <c r="M251" s="6"/>
      <c r="N251" s="6"/>
      <c r="O251" s="6"/>
      <c r="P251" s="6"/>
    </row>
    <row r="252" spans="8:16" ht="14.25" customHeight="1" x14ac:dyDescent="0.15">
      <c r="H252" s="6"/>
      <c r="I252" s="6"/>
      <c r="J252" s="6"/>
      <c r="K252" s="6"/>
      <c r="L252" s="6"/>
      <c r="M252" s="6"/>
      <c r="N252" s="6"/>
      <c r="O252" s="6"/>
      <c r="P252" s="6"/>
    </row>
    <row r="253" spans="8:16" ht="14.25" customHeight="1" x14ac:dyDescent="0.15">
      <c r="H253" s="6"/>
      <c r="I253" s="6"/>
      <c r="J253" s="6"/>
      <c r="K253" s="6"/>
      <c r="L253" s="6"/>
      <c r="M253" s="6"/>
      <c r="N253" s="6"/>
      <c r="O253" s="6"/>
      <c r="P253" s="6"/>
    </row>
    <row r="254" spans="8:16" ht="14.25" customHeight="1" x14ac:dyDescent="0.15">
      <c r="H254" s="6"/>
      <c r="I254" s="6"/>
      <c r="J254" s="6"/>
      <c r="K254" s="6"/>
      <c r="L254" s="6"/>
      <c r="M254" s="6"/>
      <c r="N254" s="6"/>
      <c r="O254" s="6"/>
      <c r="P254" s="6"/>
    </row>
    <row r="255" spans="8:16" ht="14.25" customHeight="1" x14ac:dyDescent="0.15">
      <c r="H255" s="6"/>
      <c r="I255" s="6"/>
      <c r="J255" s="6"/>
      <c r="K255" s="6"/>
      <c r="L255" s="6"/>
      <c r="M255" s="6"/>
      <c r="N255" s="6"/>
      <c r="O255" s="6"/>
      <c r="P255" s="6"/>
    </row>
    <row r="256" spans="8:16" ht="14.25" customHeight="1" x14ac:dyDescent="0.15">
      <c r="H256" s="6"/>
      <c r="I256" s="6"/>
      <c r="J256" s="6"/>
      <c r="K256" s="6"/>
      <c r="L256" s="6"/>
      <c r="M256" s="6"/>
      <c r="N256" s="6"/>
      <c r="O256" s="6"/>
      <c r="P256" s="6"/>
    </row>
    <row r="257" spans="8:16" ht="14.25" customHeight="1" x14ac:dyDescent="0.15">
      <c r="H257" s="6"/>
      <c r="I257" s="6"/>
      <c r="J257" s="6"/>
      <c r="K257" s="6"/>
      <c r="L257" s="6"/>
      <c r="M257" s="6"/>
      <c r="N257" s="6"/>
      <c r="O257" s="6"/>
      <c r="P257" s="6"/>
    </row>
    <row r="258" spans="8:16" ht="14.25" customHeight="1" x14ac:dyDescent="0.15">
      <c r="H258" s="6"/>
      <c r="I258" s="6"/>
      <c r="J258" s="6"/>
      <c r="K258" s="6"/>
      <c r="L258" s="6"/>
      <c r="M258" s="6"/>
      <c r="N258" s="6"/>
      <c r="O258" s="6"/>
      <c r="P258" s="6"/>
    </row>
    <row r="259" spans="8:16" ht="14.25" customHeight="1" x14ac:dyDescent="0.15">
      <c r="H259" s="6"/>
      <c r="I259" s="6"/>
      <c r="J259" s="6"/>
      <c r="K259" s="6"/>
      <c r="L259" s="6"/>
      <c r="M259" s="6"/>
      <c r="N259" s="6"/>
      <c r="O259" s="6"/>
      <c r="P259" s="6"/>
    </row>
    <row r="260" spans="8:16" ht="14.25" customHeight="1" x14ac:dyDescent="0.15">
      <c r="H260" s="6"/>
      <c r="I260" s="6"/>
      <c r="J260" s="6"/>
      <c r="K260" s="6"/>
      <c r="L260" s="6"/>
      <c r="M260" s="6"/>
      <c r="N260" s="6"/>
      <c r="O260" s="6"/>
      <c r="P260" s="6"/>
    </row>
    <row r="261" spans="8:16" ht="14.25" customHeight="1" x14ac:dyDescent="0.15">
      <c r="H261" s="6"/>
      <c r="I261" s="6"/>
      <c r="J261" s="6"/>
      <c r="K261" s="6"/>
      <c r="L261" s="6"/>
      <c r="M261" s="6"/>
      <c r="N261" s="6"/>
      <c r="O261" s="6"/>
      <c r="P261" s="6"/>
    </row>
    <row r="262" spans="8:16" ht="14.25" customHeight="1" x14ac:dyDescent="0.15">
      <c r="H262" s="6"/>
      <c r="I262" s="6"/>
      <c r="J262" s="6"/>
      <c r="K262" s="6"/>
      <c r="L262" s="6"/>
      <c r="M262" s="6"/>
      <c r="N262" s="6"/>
      <c r="O262" s="6"/>
      <c r="P262" s="6"/>
    </row>
    <row r="263" spans="8:16" ht="14.25" customHeight="1" x14ac:dyDescent="0.15">
      <c r="H263" s="6"/>
      <c r="I263" s="6"/>
      <c r="J263" s="6"/>
      <c r="K263" s="6"/>
      <c r="L263" s="6"/>
      <c r="M263" s="6"/>
      <c r="N263" s="6"/>
      <c r="O263" s="6"/>
      <c r="P263" s="6"/>
    </row>
    <row r="264" spans="8:16" ht="14.25" customHeight="1" x14ac:dyDescent="0.15">
      <c r="H264" s="6"/>
      <c r="I264" s="6"/>
      <c r="J264" s="6"/>
      <c r="K264" s="6"/>
      <c r="L264" s="6"/>
      <c r="M264" s="6"/>
      <c r="N264" s="6"/>
      <c r="O264" s="6"/>
      <c r="P264" s="6"/>
    </row>
    <row r="265" spans="8:16" ht="14.25" customHeight="1" x14ac:dyDescent="0.15">
      <c r="H265" s="6"/>
      <c r="I265" s="6"/>
      <c r="J265" s="6"/>
      <c r="K265" s="6"/>
      <c r="L265" s="6"/>
      <c r="M265" s="6"/>
      <c r="N265" s="6"/>
      <c r="O265" s="6"/>
      <c r="P265" s="6"/>
    </row>
    <row r="266" spans="8:16" ht="14.25" customHeight="1" x14ac:dyDescent="0.15">
      <c r="H266" s="6"/>
      <c r="I266" s="6"/>
      <c r="J266" s="6"/>
      <c r="K266" s="6"/>
      <c r="L266" s="6"/>
      <c r="M266" s="6"/>
      <c r="N266" s="6"/>
      <c r="O266" s="6"/>
      <c r="P266" s="6"/>
    </row>
    <row r="267" spans="8:16" ht="14.25" customHeight="1" x14ac:dyDescent="0.15">
      <c r="H267" s="6"/>
      <c r="I267" s="6"/>
      <c r="J267" s="6"/>
      <c r="K267" s="6"/>
      <c r="L267" s="6"/>
      <c r="M267" s="6"/>
      <c r="N267" s="6"/>
      <c r="O267" s="6"/>
      <c r="P267" s="6"/>
    </row>
    <row r="268" spans="8:16" ht="14.25" customHeight="1" x14ac:dyDescent="0.15">
      <c r="H268" s="6"/>
      <c r="I268" s="6"/>
      <c r="J268" s="6"/>
      <c r="K268" s="6"/>
      <c r="L268" s="6"/>
      <c r="M268" s="6"/>
      <c r="N268" s="6"/>
      <c r="O268" s="6"/>
      <c r="P268" s="6"/>
    </row>
    <row r="269" spans="8:16" ht="14.25" customHeight="1" x14ac:dyDescent="0.15">
      <c r="H269" s="6"/>
      <c r="I269" s="6"/>
      <c r="J269" s="6"/>
      <c r="K269" s="6"/>
      <c r="L269" s="6"/>
      <c r="M269" s="6"/>
      <c r="N269" s="6"/>
      <c r="O269" s="6"/>
      <c r="P269" s="6"/>
    </row>
    <row r="270" spans="8:16" ht="14.25" customHeight="1" x14ac:dyDescent="0.15">
      <c r="H270" s="6"/>
      <c r="I270" s="6"/>
      <c r="J270" s="6"/>
      <c r="K270" s="6"/>
      <c r="L270" s="6"/>
      <c r="M270" s="6"/>
      <c r="N270" s="6"/>
      <c r="O270" s="6"/>
      <c r="P270" s="6"/>
    </row>
    <row r="271" spans="8:16" ht="14.25" customHeight="1" x14ac:dyDescent="0.15">
      <c r="H271" s="6"/>
      <c r="I271" s="6"/>
      <c r="J271" s="6"/>
      <c r="K271" s="6"/>
      <c r="L271" s="6"/>
      <c r="M271" s="6"/>
      <c r="N271" s="6"/>
      <c r="O271" s="6"/>
      <c r="P271" s="6"/>
    </row>
    <row r="272" spans="8:16" ht="14.25" customHeight="1" x14ac:dyDescent="0.15">
      <c r="H272" s="6"/>
      <c r="I272" s="6"/>
      <c r="J272" s="6"/>
      <c r="K272" s="6"/>
      <c r="L272" s="6"/>
      <c r="M272" s="6"/>
      <c r="N272" s="6"/>
      <c r="O272" s="6"/>
      <c r="P272" s="6"/>
    </row>
    <row r="273" spans="8:16" ht="14.25" customHeight="1" x14ac:dyDescent="0.15">
      <c r="H273" s="6"/>
      <c r="I273" s="6"/>
      <c r="J273" s="6"/>
      <c r="K273" s="6"/>
      <c r="L273" s="6"/>
      <c r="M273" s="6"/>
      <c r="N273" s="6"/>
      <c r="O273" s="6"/>
      <c r="P273" s="6"/>
    </row>
    <row r="274" spans="8:16" ht="14.25" customHeight="1" x14ac:dyDescent="0.15">
      <c r="H274" s="6"/>
      <c r="I274" s="6"/>
      <c r="J274" s="6"/>
      <c r="K274" s="6"/>
      <c r="L274" s="6"/>
      <c r="M274" s="6"/>
      <c r="N274" s="6"/>
      <c r="O274" s="6"/>
      <c r="P274" s="6"/>
    </row>
    <row r="275" spans="8:16" ht="14.25" customHeight="1" x14ac:dyDescent="0.15">
      <c r="H275" s="6"/>
      <c r="I275" s="6"/>
      <c r="J275" s="6"/>
      <c r="K275" s="6"/>
      <c r="L275" s="6"/>
      <c r="M275" s="6"/>
      <c r="N275" s="6"/>
      <c r="O275" s="6"/>
      <c r="P275" s="6"/>
    </row>
    <row r="276" spans="8:16" ht="14.25" customHeight="1" x14ac:dyDescent="0.15">
      <c r="H276" s="6"/>
      <c r="I276" s="6"/>
      <c r="J276" s="6"/>
      <c r="K276" s="6"/>
      <c r="L276" s="6"/>
      <c r="M276" s="6"/>
      <c r="N276" s="6"/>
      <c r="O276" s="6"/>
      <c r="P276" s="6"/>
    </row>
    <row r="277" spans="8:16" ht="14.25" customHeight="1" x14ac:dyDescent="0.15">
      <c r="H277" s="6"/>
      <c r="I277" s="6"/>
      <c r="J277" s="6"/>
      <c r="K277" s="6"/>
      <c r="L277" s="6"/>
      <c r="M277" s="6"/>
      <c r="N277" s="6"/>
      <c r="O277" s="6"/>
      <c r="P277" s="6"/>
    </row>
    <row r="278" spans="8:16" ht="14.25" customHeight="1" x14ac:dyDescent="0.15">
      <c r="H278" s="6"/>
      <c r="I278" s="6"/>
      <c r="J278" s="6"/>
      <c r="K278" s="6"/>
      <c r="L278" s="6"/>
      <c r="M278" s="6"/>
      <c r="N278" s="6"/>
      <c r="O278" s="6"/>
      <c r="P278" s="6"/>
    </row>
    <row r="279" spans="8:16" ht="14.25" customHeight="1" x14ac:dyDescent="0.15">
      <c r="H279" s="6"/>
      <c r="I279" s="6"/>
      <c r="J279" s="6"/>
      <c r="K279" s="6"/>
      <c r="L279" s="6"/>
      <c r="M279" s="6"/>
      <c r="N279" s="6"/>
      <c r="O279" s="6"/>
      <c r="P279" s="6"/>
    </row>
    <row r="280" spans="8:16" ht="14.25" customHeight="1" x14ac:dyDescent="0.15">
      <c r="H280" s="6"/>
      <c r="I280" s="6"/>
      <c r="J280" s="6"/>
      <c r="K280" s="6"/>
      <c r="L280" s="6"/>
      <c r="M280" s="6"/>
      <c r="N280" s="6"/>
      <c r="O280" s="6"/>
      <c r="P280" s="6"/>
    </row>
    <row r="281" spans="8:16" ht="14.25" customHeight="1" x14ac:dyDescent="0.15">
      <c r="H281" s="6"/>
      <c r="I281" s="6"/>
      <c r="J281" s="6"/>
      <c r="K281" s="6"/>
      <c r="L281" s="6"/>
      <c r="M281" s="6"/>
      <c r="N281" s="6"/>
      <c r="O281" s="6"/>
      <c r="P281" s="6"/>
    </row>
    <row r="282" spans="8:16" ht="14.25" customHeight="1" x14ac:dyDescent="0.15">
      <c r="H282" s="6"/>
      <c r="I282" s="6"/>
      <c r="J282" s="6"/>
      <c r="K282" s="6"/>
      <c r="L282" s="6"/>
      <c r="M282" s="6"/>
      <c r="N282" s="6"/>
      <c r="O282" s="6"/>
      <c r="P282" s="6"/>
    </row>
    <row r="283" spans="8:16" ht="14.25" customHeight="1" x14ac:dyDescent="0.15">
      <c r="H283" s="6"/>
      <c r="I283" s="6"/>
      <c r="J283" s="6"/>
      <c r="K283" s="6"/>
      <c r="L283" s="6"/>
      <c r="M283" s="6"/>
      <c r="N283" s="6"/>
      <c r="O283" s="6"/>
      <c r="P283" s="6"/>
    </row>
    <row r="284" spans="8:16" ht="14.25" customHeight="1" x14ac:dyDescent="0.15">
      <c r="H284" s="6"/>
      <c r="I284" s="6"/>
      <c r="J284" s="6"/>
      <c r="K284" s="6"/>
      <c r="L284" s="6"/>
      <c r="M284" s="6"/>
      <c r="N284" s="6"/>
      <c r="O284" s="6"/>
      <c r="P284" s="6"/>
    </row>
    <row r="285" spans="8:16" ht="14.25" customHeight="1" x14ac:dyDescent="0.15">
      <c r="H285" s="6"/>
      <c r="I285" s="6"/>
      <c r="J285" s="6"/>
      <c r="K285" s="6"/>
      <c r="L285" s="6"/>
      <c r="M285" s="6"/>
      <c r="N285" s="6"/>
      <c r="O285" s="6"/>
      <c r="P285" s="6"/>
    </row>
    <row r="286" spans="8:16" ht="14.25" customHeight="1" x14ac:dyDescent="0.15">
      <c r="H286" s="6"/>
      <c r="I286" s="6"/>
      <c r="J286" s="6"/>
      <c r="K286" s="6"/>
      <c r="L286" s="6"/>
      <c r="M286" s="6"/>
      <c r="N286" s="6"/>
      <c r="O286" s="6"/>
      <c r="P286" s="6"/>
    </row>
    <row r="287" spans="8:16" ht="14.25" customHeight="1" x14ac:dyDescent="0.15">
      <c r="H287" s="6"/>
      <c r="I287" s="6"/>
      <c r="J287" s="6"/>
      <c r="K287" s="6"/>
      <c r="L287" s="6"/>
      <c r="M287" s="6"/>
      <c r="N287" s="6"/>
      <c r="O287" s="6"/>
      <c r="P287" s="6"/>
    </row>
    <row r="288" spans="8:16" ht="14.25" customHeight="1" x14ac:dyDescent="0.15">
      <c r="H288" s="6"/>
      <c r="I288" s="6"/>
      <c r="J288" s="6"/>
      <c r="K288" s="6"/>
      <c r="L288" s="6"/>
      <c r="M288" s="6"/>
      <c r="N288" s="6"/>
      <c r="O288" s="6"/>
      <c r="P288" s="6"/>
    </row>
    <row r="289" spans="8:16" ht="14.25" customHeight="1" x14ac:dyDescent="0.15">
      <c r="H289" s="6"/>
      <c r="I289" s="6"/>
      <c r="J289" s="6"/>
      <c r="K289" s="6"/>
      <c r="L289" s="6"/>
      <c r="M289" s="6"/>
      <c r="N289" s="6"/>
      <c r="O289" s="6"/>
      <c r="P289" s="6"/>
    </row>
    <row r="290" spans="8:16" ht="14.25" customHeight="1" x14ac:dyDescent="0.15">
      <c r="H290" s="6"/>
      <c r="I290" s="6"/>
      <c r="J290" s="6"/>
      <c r="K290" s="6"/>
      <c r="L290" s="6"/>
      <c r="M290" s="6"/>
      <c r="N290" s="6"/>
      <c r="O290" s="6"/>
      <c r="P290" s="6"/>
    </row>
    <row r="291" spans="8:16" ht="14.25" customHeight="1" x14ac:dyDescent="0.15">
      <c r="H291" s="6"/>
      <c r="I291" s="6"/>
      <c r="J291" s="6"/>
      <c r="K291" s="6"/>
      <c r="L291" s="6"/>
      <c r="M291" s="6"/>
      <c r="N291" s="6"/>
      <c r="O291" s="6"/>
      <c r="P291" s="6"/>
    </row>
    <row r="292" spans="8:16" ht="14.25" customHeight="1" x14ac:dyDescent="0.15">
      <c r="H292" s="6"/>
      <c r="I292" s="6"/>
      <c r="J292" s="6"/>
      <c r="K292" s="6"/>
      <c r="L292" s="6"/>
      <c r="M292" s="6"/>
      <c r="N292" s="6"/>
      <c r="O292" s="6"/>
      <c r="P292" s="6"/>
    </row>
    <row r="293" spans="8:16" ht="14.25" customHeight="1" x14ac:dyDescent="0.15">
      <c r="H293" s="6"/>
      <c r="I293" s="6"/>
      <c r="J293" s="6"/>
      <c r="K293" s="6"/>
      <c r="L293" s="6"/>
      <c r="M293" s="6"/>
      <c r="N293" s="6"/>
      <c r="O293" s="6"/>
      <c r="P293" s="6"/>
    </row>
    <row r="294" spans="8:16" ht="14.25" customHeight="1" x14ac:dyDescent="0.15">
      <c r="H294" s="6"/>
      <c r="I294" s="6"/>
      <c r="J294" s="6"/>
      <c r="K294" s="6"/>
      <c r="L294" s="6"/>
      <c r="M294" s="6"/>
      <c r="N294" s="6"/>
      <c r="O294" s="6"/>
      <c r="P294" s="6"/>
    </row>
    <row r="295" spans="8:16" ht="14.25" customHeight="1" x14ac:dyDescent="0.15">
      <c r="H295" s="6"/>
      <c r="I295" s="6"/>
      <c r="J295" s="6"/>
      <c r="K295" s="6"/>
      <c r="L295" s="6"/>
      <c r="M295" s="6"/>
      <c r="N295" s="6"/>
      <c r="O295" s="6"/>
      <c r="P295" s="6"/>
    </row>
    <row r="296" spans="8:16" ht="14.25" customHeight="1" x14ac:dyDescent="0.15">
      <c r="H296" s="6"/>
      <c r="I296" s="6"/>
      <c r="J296" s="6"/>
      <c r="K296" s="6"/>
      <c r="L296" s="6"/>
      <c r="M296" s="6"/>
      <c r="N296" s="6"/>
      <c r="O296" s="6"/>
      <c r="P296" s="6"/>
    </row>
    <row r="297" spans="8:16" ht="14.25" customHeight="1" x14ac:dyDescent="0.15">
      <c r="H297" s="6"/>
      <c r="I297" s="6"/>
      <c r="J297" s="6"/>
      <c r="K297" s="6"/>
      <c r="L297" s="6"/>
      <c r="M297" s="6"/>
      <c r="N297" s="6"/>
      <c r="O297" s="6"/>
      <c r="P297" s="6"/>
    </row>
    <row r="298" spans="8:16" ht="14.25" customHeight="1" x14ac:dyDescent="0.15">
      <c r="H298" s="6"/>
      <c r="I298" s="6"/>
      <c r="J298" s="6"/>
      <c r="K298" s="6"/>
      <c r="L298" s="6"/>
      <c r="M298" s="6"/>
      <c r="N298" s="6"/>
      <c r="O298" s="6"/>
      <c r="P298" s="6"/>
    </row>
    <row r="299" spans="8:16" ht="14.25" customHeight="1" x14ac:dyDescent="0.15">
      <c r="H299" s="6"/>
      <c r="I299" s="6"/>
      <c r="J299" s="6"/>
      <c r="K299" s="6"/>
      <c r="L299" s="6"/>
      <c r="M299" s="6"/>
      <c r="N299" s="6"/>
      <c r="O299" s="6"/>
      <c r="P299" s="6"/>
    </row>
    <row r="300" spans="8:16" ht="14.25" customHeight="1" x14ac:dyDescent="0.15">
      <c r="H300" s="6"/>
      <c r="I300" s="6"/>
      <c r="J300" s="6"/>
      <c r="K300" s="6"/>
      <c r="L300" s="6"/>
      <c r="M300" s="6"/>
      <c r="N300" s="6"/>
      <c r="O300" s="6"/>
      <c r="P300" s="6"/>
    </row>
    <row r="301" spans="8:16" ht="14.25" customHeight="1" x14ac:dyDescent="0.15">
      <c r="H301" s="6"/>
      <c r="I301" s="6"/>
      <c r="J301" s="6"/>
      <c r="K301" s="6"/>
      <c r="L301" s="6"/>
      <c r="M301" s="6"/>
      <c r="N301" s="6"/>
      <c r="O301" s="6"/>
      <c r="P301" s="6"/>
    </row>
    <row r="302" spans="8:16" ht="14.25" customHeight="1" x14ac:dyDescent="0.15">
      <c r="H302" s="6"/>
      <c r="I302" s="6"/>
      <c r="J302" s="6"/>
      <c r="K302" s="6"/>
      <c r="L302" s="6"/>
      <c r="M302" s="6"/>
      <c r="N302" s="6"/>
      <c r="O302" s="6"/>
      <c r="P302" s="6"/>
    </row>
    <row r="303" spans="8:16" ht="14.25" customHeight="1" x14ac:dyDescent="0.15">
      <c r="H303" s="6"/>
      <c r="I303" s="6"/>
      <c r="J303" s="6"/>
      <c r="K303" s="6"/>
      <c r="L303" s="6"/>
      <c r="M303" s="6"/>
      <c r="N303" s="6"/>
      <c r="O303" s="6"/>
      <c r="P303" s="6"/>
    </row>
    <row r="304" spans="8:16" ht="14.25" customHeight="1" x14ac:dyDescent="0.15">
      <c r="H304" s="6"/>
      <c r="I304" s="6"/>
      <c r="J304" s="6"/>
      <c r="K304" s="6"/>
      <c r="L304" s="6"/>
      <c r="M304" s="6"/>
      <c r="N304" s="6"/>
      <c r="O304" s="6"/>
      <c r="P304" s="6"/>
    </row>
    <row r="305" spans="8:16" ht="14.25" customHeight="1" x14ac:dyDescent="0.15">
      <c r="H305" s="6"/>
      <c r="I305" s="6"/>
      <c r="J305" s="6"/>
      <c r="K305" s="6"/>
      <c r="L305" s="6"/>
      <c r="M305" s="6"/>
      <c r="N305" s="6"/>
      <c r="O305" s="6"/>
      <c r="P305" s="6"/>
    </row>
    <row r="306" spans="8:16" ht="14.25" customHeight="1" x14ac:dyDescent="0.15">
      <c r="H306" s="6"/>
      <c r="I306" s="6"/>
      <c r="J306" s="6"/>
      <c r="K306" s="6"/>
      <c r="L306" s="6"/>
      <c r="M306" s="6"/>
      <c r="N306" s="6"/>
      <c r="O306" s="6"/>
      <c r="P306" s="6"/>
    </row>
    <row r="307" spans="8:16" ht="14.25" customHeight="1" x14ac:dyDescent="0.15">
      <c r="H307" s="6"/>
      <c r="I307" s="6"/>
      <c r="J307" s="6"/>
      <c r="K307" s="6"/>
      <c r="L307" s="6"/>
      <c r="M307" s="6"/>
      <c r="N307" s="6"/>
      <c r="O307" s="6"/>
      <c r="P307" s="6"/>
    </row>
    <row r="308" spans="8:16" ht="14.25" customHeight="1" x14ac:dyDescent="0.15">
      <c r="H308" s="6"/>
      <c r="I308" s="6"/>
      <c r="J308" s="6"/>
      <c r="K308" s="6"/>
      <c r="L308" s="6"/>
      <c r="M308" s="6"/>
      <c r="N308" s="6"/>
      <c r="O308" s="6"/>
      <c r="P308" s="6"/>
    </row>
    <row r="309" spans="8:16" ht="14.25" customHeight="1" x14ac:dyDescent="0.15">
      <c r="H309" s="6"/>
      <c r="I309" s="6"/>
      <c r="J309" s="6"/>
      <c r="K309" s="6"/>
      <c r="L309" s="6"/>
      <c r="M309" s="6"/>
      <c r="N309" s="6"/>
      <c r="O309" s="6"/>
      <c r="P309" s="6"/>
    </row>
    <row r="310" spans="8:16" ht="14.25" customHeight="1" x14ac:dyDescent="0.15">
      <c r="H310" s="6"/>
      <c r="I310" s="6"/>
      <c r="J310" s="6"/>
      <c r="K310" s="6"/>
      <c r="L310" s="6"/>
      <c r="M310" s="6"/>
      <c r="N310" s="6"/>
      <c r="O310" s="6"/>
      <c r="P310" s="6"/>
    </row>
    <row r="311" spans="8:16" ht="14.25" customHeight="1" x14ac:dyDescent="0.15">
      <c r="H311" s="6"/>
      <c r="I311" s="6"/>
      <c r="J311" s="6"/>
      <c r="K311" s="6"/>
      <c r="L311" s="6"/>
      <c r="M311" s="6"/>
      <c r="N311" s="6"/>
      <c r="O311" s="6"/>
      <c r="P311" s="6"/>
    </row>
    <row r="312" spans="8:16" ht="14.25" customHeight="1" x14ac:dyDescent="0.15">
      <c r="H312" s="6"/>
      <c r="I312" s="6"/>
      <c r="J312" s="6"/>
      <c r="K312" s="6"/>
      <c r="L312" s="6"/>
      <c r="M312" s="6"/>
      <c r="N312" s="6"/>
      <c r="O312" s="6"/>
      <c r="P312" s="6"/>
    </row>
    <row r="313" spans="8:16" ht="14.25" customHeight="1" x14ac:dyDescent="0.15">
      <c r="H313" s="6"/>
      <c r="I313" s="6"/>
      <c r="J313" s="6"/>
      <c r="K313" s="6"/>
      <c r="L313" s="6"/>
      <c r="M313" s="6"/>
      <c r="N313" s="6"/>
      <c r="O313" s="6"/>
      <c r="P313" s="6"/>
    </row>
    <row r="314" spans="8:16" ht="14.25" customHeight="1" x14ac:dyDescent="0.15">
      <c r="H314" s="6"/>
      <c r="I314" s="6"/>
      <c r="J314" s="6"/>
      <c r="K314" s="6"/>
      <c r="L314" s="6"/>
      <c r="M314" s="6"/>
      <c r="N314" s="6"/>
      <c r="O314" s="6"/>
      <c r="P314" s="6"/>
    </row>
    <row r="315" spans="8:16" ht="14.25" customHeight="1" x14ac:dyDescent="0.15">
      <c r="H315" s="6"/>
      <c r="I315" s="6"/>
      <c r="J315" s="6"/>
      <c r="K315" s="6"/>
      <c r="L315" s="6"/>
      <c r="M315" s="6"/>
      <c r="N315" s="6"/>
      <c r="O315" s="6"/>
      <c r="P315" s="6"/>
    </row>
    <row r="316" spans="8:16" ht="14.25" customHeight="1" x14ac:dyDescent="0.15">
      <c r="H316" s="6"/>
      <c r="I316" s="6"/>
      <c r="J316" s="6"/>
      <c r="K316" s="6"/>
      <c r="L316" s="6"/>
      <c r="M316" s="6"/>
      <c r="N316" s="6"/>
      <c r="O316" s="6"/>
      <c r="P316" s="6"/>
    </row>
    <row r="317" spans="8:16" ht="14.25" customHeight="1" x14ac:dyDescent="0.15">
      <c r="H317" s="6"/>
      <c r="I317" s="6"/>
      <c r="J317" s="6"/>
      <c r="K317" s="6"/>
      <c r="L317" s="6"/>
      <c r="M317" s="6"/>
      <c r="N317" s="6"/>
      <c r="O317" s="6"/>
      <c r="P317" s="6"/>
    </row>
    <row r="318" spans="8:16" ht="14.25" customHeight="1" x14ac:dyDescent="0.15">
      <c r="H318" s="6"/>
      <c r="I318" s="6"/>
      <c r="J318" s="6"/>
      <c r="K318" s="6"/>
      <c r="L318" s="6"/>
      <c r="M318" s="6"/>
      <c r="N318" s="6"/>
      <c r="O318" s="6"/>
      <c r="P318" s="6"/>
    </row>
    <row r="319" spans="8:16" ht="14.25" customHeight="1" x14ac:dyDescent="0.15">
      <c r="H319" s="6"/>
      <c r="I319" s="6"/>
      <c r="J319" s="6"/>
      <c r="K319" s="6"/>
      <c r="L319" s="6"/>
      <c r="M319" s="6"/>
      <c r="N319" s="6"/>
      <c r="O319" s="6"/>
      <c r="P319" s="6"/>
    </row>
    <row r="320" spans="8:16" ht="14.25" customHeight="1" x14ac:dyDescent="0.15">
      <c r="H320" s="6"/>
      <c r="I320" s="6"/>
      <c r="J320" s="6"/>
      <c r="K320" s="6"/>
      <c r="L320" s="6"/>
      <c r="M320" s="6"/>
      <c r="N320" s="6"/>
      <c r="O320" s="6"/>
      <c r="P320" s="6"/>
    </row>
    <row r="321" spans="8:16" ht="14.25" customHeight="1" x14ac:dyDescent="0.15">
      <c r="H321" s="6"/>
      <c r="I321" s="6"/>
      <c r="J321" s="6"/>
      <c r="K321" s="6"/>
      <c r="L321" s="6"/>
      <c r="M321" s="6"/>
      <c r="N321" s="6"/>
      <c r="O321" s="6"/>
      <c r="P321" s="6"/>
    </row>
    <row r="322" spans="8:16" ht="14.25" customHeight="1" x14ac:dyDescent="0.15">
      <c r="H322" s="6"/>
      <c r="I322" s="6"/>
      <c r="J322" s="6"/>
      <c r="K322" s="6"/>
      <c r="L322" s="6"/>
      <c r="M322" s="6"/>
      <c r="N322" s="6"/>
      <c r="O322" s="6"/>
      <c r="P322" s="6"/>
    </row>
    <row r="323" spans="8:16" ht="14.25" customHeight="1" x14ac:dyDescent="0.15">
      <c r="H323" s="6"/>
      <c r="I323" s="6"/>
      <c r="J323" s="6"/>
      <c r="K323" s="6"/>
      <c r="L323" s="6"/>
      <c r="M323" s="6"/>
      <c r="N323" s="6"/>
      <c r="O323" s="6"/>
      <c r="P323" s="6"/>
    </row>
    <row r="324" spans="8:16" ht="14.25" customHeight="1" x14ac:dyDescent="0.15">
      <c r="H324" s="6"/>
      <c r="I324" s="6"/>
      <c r="J324" s="6"/>
      <c r="K324" s="6"/>
      <c r="L324" s="6"/>
      <c r="M324" s="6"/>
      <c r="N324" s="6"/>
      <c r="O324" s="6"/>
      <c r="P324" s="6"/>
    </row>
    <row r="325" spans="8:16" ht="14.25" customHeight="1" x14ac:dyDescent="0.15">
      <c r="H325" s="6"/>
      <c r="I325" s="6"/>
      <c r="J325" s="6"/>
      <c r="K325" s="6"/>
      <c r="L325" s="6"/>
      <c r="M325" s="6"/>
      <c r="N325" s="6"/>
      <c r="O325" s="6"/>
      <c r="P325" s="6"/>
    </row>
    <row r="326" spans="8:16" ht="14.25" customHeight="1" x14ac:dyDescent="0.15">
      <c r="H326" s="6"/>
      <c r="I326" s="6"/>
      <c r="J326" s="6"/>
      <c r="K326" s="6"/>
      <c r="L326" s="6"/>
      <c r="M326" s="6"/>
      <c r="N326" s="6"/>
      <c r="O326" s="6"/>
      <c r="P326" s="6"/>
    </row>
    <row r="327" spans="8:16" ht="14.25" customHeight="1" x14ac:dyDescent="0.15">
      <c r="H327" s="6"/>
      <c r="I327" s="6"/>
      <c r="J327" s="6"/>
      <c r="K327" s="6"/>
      <c r="L327" s="6"/>
      <c r="M327" s="6"/>
      <c r="N327" s="6"/>
      <c r="O327" s="6"/>
      <c r="P327" s="6"/>
    </row>
    <row r="328" spans="8:16" ht="14.25" customHeight="1" x14ac:dyDescent="0.15">
      <c r="H328" s="6"/>
      <c r="I328" s="6"/>
      <c r="J328" s="6"/>
      <c r="K328" s="6"/>
      <c r="L328" s="6"/>
      <c r="M328" s="6"/>
      <c r="N328" s="6"/>
      <c r="O328" s="6"/>
      <c r="P328" s="6"/>
    </row>
    <row r="329" spans="8:16" ht="14.25" customHeight="1" x14ac:dyDescent="0.15">
      <c r="H329" s="6"/>
      <c r="I329" s="6"/>
      <c r="J329" s="6"/>
      <c r="K329" s="6"/>
      <c r="L329" s="6"/>
      <c r="M329" s="6"/>
      <c r="N329" s="6"/>
      <c r="O329" s="6"/>
      <c r="P329" s="6"/>
    </row>
    <row r="330" spans="8:16" ht="14.25" customHeight="1" x14ac:dyDescent="0.15">
      <c r="H330" s="6"/>
      <c r="I330" s="6"/>
      <c r="J330" s="6"/>
      <c r="K330" s="6"/>
      <c r="L330" s="6"/>
      <c r="M330" s="6"/>
      <c r="N330" s="6"/>
      <c r="O330" s="6"/>
      <c r="P330" s="6"/>
    </row>
    <row r="331" spans="8:16" ht="14.25" customHeight="1" x14ac:dyDescent="0.15">
      <c r="H331" s="6"/>
      <c r="I331" s="6"/>
      <c r="J331" s="6"/>
      <c r="K331" s="6"/>
      <c r="L331" s="6"/>
      <c r="M331" s="6"/>
      <c r="N331" s="6"/>
      <c r="O331" s="6"/>
      <c r="P331" s="6"/>
    </row>
    <row r="332" spans="8:16" ht="14.25" customHeight="1" x14ac:dyDescent="0.15">
      <c r="H332" s="6"/>
      <c r="I332" s="6"/>
      <c r="J332" s="6"/>
      <c r="K332" s="6"/>
      <c r="L332" s="6"/>
      <c r="M332" s="6"/>
      <c r="N332" s="6"/>
      <c r="O332" s="6"/>
      <c r="P332" s="6"/>
    </row>
    <row r="333" spans="8:16" ht="14.25" customHeight="1" x14ac:dyDescent="0.15">
      <c r="H333" s="6"/>
      <c r="I333" s="6"/>
      <c r="J333" s="6"/>
      <c r="K333" s="6"/>
      <c r="L333" s="6"/>
      <c r="M333" s="6"/>
      <c r="N333" s="6"/>
      <c r="O333" s="6"/>
      <c r="P333" s="6"/>
    </row>
    <row r="334" spans="8:16" ht="14.25" customHeight="1" x14ac:dyDescent="0.15">
      <c r="H334" s="6"/>
      <c r="I334" s="6"/>
      <c r="J334" s="6"/>
      <c r="K334" s="6"/>
      <c r="L334" s="6"/>
      <c r="M334" s="6"/>
      <c r="N334" s="6"/>
      <c r="O334" s="6"/>
      <c r="P334" s="6"/>
    </row>
    <row r="335" spans="8:16" ht="14.25" customHeight="1" x14ac:dyDescent="0.15">
      <c r="H335" s="6"/>
      <c r="I335" s="6"/>
      <c r="J335" s="6"/>
      <c r="K335" s="6"/>
      <c r="L335" s="6"/>
      <c r="M335" s="6"/>
      <c r="N335" s="6"/>
      <c r="O335" s="6"/>
      <c r="P335" s="6"/>
    </row>
    <row r="336" spans="8:16" ht="14.25" customHeight="1" x14ac:dyDescent="0.15">
      <c r="H336" s="6"/>
      <c r="I336" s="6"/>
      <c r="J336" s="6"/>
      <c r="K336" s="6"/>
      <c r="L336" s="6"/>
      <c r="M336" s="6"/>
      <c r="N336" s="6"/>
      <c r="O336" s="6"/>
      <c r="P336" s="6"/>
    </row>
    <row r="337" spans="8:16" ht="14.25" customHeight="1" x14ac:dyDescent="0.15">
      <c r="H337" s="6"/>
      <c r="I337" s="6"/>
      <c r="J337" s="6"/>
      <c r="K337" s="6"/>
      <c r="L337" s="6"/>
      <c r="M337" s="6"/>
      <c r="N337" s="6"/>
      <c r="O337" s="6"/>
      <c r="P337" s="6"/>
    </row>
    <row r="338" spans="8:16" ht="14.25" customHeight="1" x14ac:dyDescent="0.15">
      <c r="H338" s="6"/>
      <c r="I338" s="6"/>
      <c r="J338" s="6"/>
      <c r="K338" s="6"/>
      <c r="L338" s="6"/>
      <c r="M338" s="6"/>
      <c r="N338" s="6"/>
      <c r="O338" s="6"/>
      <c r="P338" s="6"/>
    </row>
    <row r="339" spans="8:16" ht="14.25" customHeight="1" x14ac:dyDescent="0.15">
      <c r="H339" s="6"/>
      <c r="I339" s="6"/>
      <c r="J339" s="6"/>
      <c r="K339" s="6"/>
      <c r="L339" s="6"/>
      <c r="M339" s="6"/>
      <c r="N339" s="6"/>
      <c r="O339" s="6"/>
      <c r="P339" s="6"/>
    </row>
    <row r="340" spans="8:16" ht="14.25" customHeight="1" x14ac:dyDescent="0.15">
      <c r="H340" s="6"/>
      <c r="I340" s="6"/>
      <c r="J340" s="6"/>
      <c r="K340" s="6"/>
      <c r="L340" s="6"/>
      <c r="M340" s="6"/>
      <c r="N340" s="6"/>
      <c r="O340" s="6"/>
      <c r="P340" s="6"/>
    </row>
    <row r="341" spans="8:16" ht="14.25" customHeight="1" x14ac:dyDescent="0.15">
      <c r="H341" s="6"/>
      <c r="I341" s="6"/>
      <c r="J341" s="6"/>
      <c r="K341" s="6"/>
      <c r="L341" s="6"/>
      <c r="M341" s="6"/>
      <c r="N341" s="6"/>
      <c r="O341" s="6"/>
      <c r="P341" s="6"/>
    </row>
    <row r="342" spans="8:16" ht="14.25" customHeight="1" x14ac:dyDescent="0.15">
      <c r="H342" s="6"/>
      <c r="I342" s="6"/>
      <c r="J342" s="6"/>
      <c r="K342" s="6"/>
      <c r="L342" s="6"/>
      <c r="M342" s="6"/>
      <c r="N342" s="6"/>
      <c r="O342" s="6"/>
      <c r="P342" s="6"/>
    </row>
    <row r="343" spans="8:16" ht="14.25" customHeight="1" x14ac:dyDescent="0.15">
      <c r="H343" s="6"/>
      <c r="I343" s="6"/>
      <c r="J343" s="6"/>
      <c r="K343" s="6"/>
      <c r="L343" s="6"/>
      <c r="M343" s="6"/>
      <c r="N343" s="6"/>
      <c r="O343" s="6"/>
      <c r="P343" s="6"/>
    </row>
    <row r="344" spans="8:16" ht="14.25" customHeight="1" x14ac:dyDescent="0.15">
      <c r="H344" s="6"/>
      <c r="I344" s="6"/>
      <c r="J344" s="6"/>
      <c r="K344" s="6"/>
      <c r="L344" s="6"/>
      <c r="M344" s="6"/>
      <c r="N344" s="6"/>
      <c r="O344" s="6"/>
      <c r="P344" s="6"/>
    </row>
    <row r="345" spans="8:16" ht="14.25" customHeight="1" x14ac:dyDescent="0.15">
      <c r="H345" s="6"/>
      <c r="I345" s="6"/>
      <c r="J345" s="6"/>
      <c r="K345" s="6"/>
      <c r="L345" s="6"/>
      <c r="M345" s="6"/>
      <c r="N345" s="6"/>
      <c r="O345" s="6"/>
      <c r="P345" s="6"/>
    </row>
    <row r="346" spans="8:16" ht="14.25" customHeight="1" x14ac:dyDescent="0.15">
      <c r="H346" s="6"/>
      <c r="I346" s="6"/>
      <c r="J346" s="6"/>
      <c r="K346" s="6"/>
      <c r="L346" s="6"/>
      <c r="M346" s="6"/>
      <c r="N346" s="6"/>
      <c r="O346" s="6"/>
      <c r="P346" s="6"/>
    </row>
    <row r="347" spans="8:16" ht="14.25" customHeight="1" x14ac:dyDescent="0.15">
      <c r="H347" s="6"/>
      <c r="I347" s="6"/>
      <c r="J347" s="6"/>
      <c r="K347" s="6"/>
      <c r="L347" s="6"/>
      <c r="M347" s="6"/>
      <c r="N347" s="6"/>
      <c r="O347" s="6"/>
      <c r="P347" s="6"/>
    </row>
    <row r="348" spans="8:16" ht="14.25" customHeight="1" x14ac:dyDescent="0.15">
      <c r="H348" s="6"/>
      <c r="I348" s="6"/>
      <c r="J348" s="6"/>
      <c r="K348" s="6"/>
      <c r="L348" s="6"/>
      <c r="M348" s="6"/>
      <c r="N348" s="6"/>
      <c r="O348" s="6"/>
      <c r="P348" s="6"/>
    </row>
    <row r="349" spans="8:16" ht="14.25" customHeight="1" x14ac:dyDescent="0.15">
      <c r="H349" s="6"/>
      <c r="I349" s="6"/>
      <c r="J349" s="6"/>
      <c r="K349" s="6"/>
      <c r="L349" s="6"/>
      <c r="M349" s="6"/>
      <c r="N349" s="6"/>
      <c r="O349" s="6"/>
      <c r="P349" s="6"/>
    </row>
    <row r="350" spans="8:16" ht="14.25" customHeight="1" x14ac:dyDescent="0.15">
      <c r="H350" s="6"/>
      <c r="I350" s="6"/>
      <c r="J350" s="6"/>
      <c r="K350" s="6"/>
      <c r="L350" s="6"/>
      <c r="M350" s="6"/>
      <c r="N350" s="6"/>
      <c r="O350" s="6"/>
      <c r="P350" s="6"/>
    </row>
    <row r="351" spans="8:16" ht="14.25" customHeight="1" x14ac:dyDescent="0.15">
      <c r="H351" s="6"/>
      <c r="I351" s="6"/>
      <c r="J351" s="6"/>
      <c r="K351" s="6"/>
      <c r="L351" s="6"/>
      <c r="M351" s="6"/>
      <c r="N351" s="6"/>
      <c r="O351" s="6"/>
      <c r="P351" s="6"/>
    </row>
    <row r="352" spans="8:16" ht="14.25" customHeight="1" x14ac:dyDescent="0.15">
      <c r="H352" s="6"/>
      <c r="I352" s="6"/>
      <c r="J352" s="6"/>
      <c r="K352" s="6"/>
      <c r="L352" s="6"/>
      <c r="M352" s="6"/>
      <c r="N352" s="6"/>
      <c r="O352" s="6"/>
      <c r="P352" s="6"/>
    </row>
    <row r="353" spans="8:16" ht="14.25" customHeight="1" x14ac:dyDescent="0.15">
      <c r="H353" s="6"/>
      <c r="I353" s="6"/>
      <c r="J353" s="6"/>
      <c r="K353" s="6"/>
      <c r="L353" s="6"/>
      <c r="M353" s="6"/>
      <c r="N353" s="6"/>
      <c r="O353" s="6"/>
      <c r="P353" s="6"/>
    </row>
    <row r="354" spans="8:16" ht="14.25" customHeight="1" x14ac:dyDescent="0.15">
      <c r="H354" s="6"/>
      <c r="I354" s="6"/>
      <c r="J354" s="6"/>
      <c r="K354" s="6"/>
      <c r="L354" s="6"/>
      <c r="M354" s="6"/>
      <c r="N354" s="6"/>
      <c r="O354" s="6"/>
      <c r="P354" s="6"/>
    </row>
    <row r="355" spans="8:16" ht="14.25" customHeight="1" x14ac:dyDescent="0.15">
      <c r="H355" s="6"/>
      <c r="I355" s="6"/>
      <c r="J355" s="6"/>
      <c r="K355" s="6"/>
      <c r="L355" s="6"/>
      <c r="M355" s="6"/>
      <c r="N355" s="6"/>
      <c r="O355" s="6"/>
      <c r="P355" s="6"/>
    </row>
    <row r="356" spans="8:16" ht="14.25" customHeight="1" x14ac:dyDescent="0.15">
      <c r="H356" s="6"/>
      <c r="I356" s="6"/>
      <c r="J356" s="6"/>
      <c r="K356" s="6"/>
      <c r="L356" s="6"/>
      <c r="M356" s="6"/>
      <c r="N356" s="6"/>
      <c r="O356" s="6"/>
      <c r="P356" s="6"/>
    </row>
    <row r="357" spans="8:16" ht="14.25" customHeight="1" x14ac:dyDescent="0.15">
      <c r="H357" s="6"/>
      <c r="I357" s="6"/>
      <c r="J357" s="6"/>
      <c r="K357" s="6"/>
      <c r="L357" s="6"/>
      <c r="M357" s="6"/>
      <c r="N357" s="6"/>
      <c r="O357" s="6"/>
      <c r="P357" s="6"/>
    </row>
    <row r="358" spans="8:16" ht="14.25" customHeight="1" x14ac:dyDescent="0.15">
      <c r="H358" s="6"/>
      <c r="I358" s="6"/>
      <c r="J358" s="6"/>
      <c r="K358" s="6"/>
      <c r="L358" s="6"/>
      <c r="M358" s="6"/>
      <c r="N358" s="6"/>
      <c r="O358" s="6"/>
      <c r="P358" s="6"/>
    </row>
    <row r="359" spans="8:16" ht="14.25" customHeight="1" x14ac:dyDescent="0.15">
      <c r="H359" s="6"/>
      <c r="I359" s="6"/>
      <c r="J359" s="6"/>
      <c r="K359" s="6"/>
      <c r="L359" s="6"/>
      <c r="M359" s="6"/>
      <c r="N359" s="6"/>
      <c r="O359" s="6"/>
      <c r="P359" s="6"/>
    </row>
    <row r="360" spans="8:16" ht="14.25" customHeight="1" x14ac:dyDescent="0.15">
      <c r="H360" s="6"/>
      <c r="I360" s="6"/>
      <c r="J360" s="6"/>
      <c r="K360" s="6"/>
      <c r="L360" s="6"/>
      <c r="M360" s="6"/>
      <c r="N360" s="6"/>
      <c r="O360" s="6"/>
      <c r="P360" s="6"/>
    </row>
    <row r="361" spans="8:16" ht="14.25" customHeight="1" x14ac:dyDescent="0.15">
      <c r="H361" s="6"/>
      <c r="I361" s="6"/>
      <c r="J361" s="6"/>
      <c r="K361" s="6"/>
      <c r="L361" s="6"/>
      <c r="M361" s="6"/>
      <c r="N361" s="6"/>
      <c r="O361" s="6"/>
      <c r="P361" s="6"/>
    </row>
    <row r="362" spans="8:16" ht="14.25" customHeight="1" x14ac:dyDescent="0.15">
      <c r="H362" s="6"/>
      <c r="I362" s="6"/>
      <c r="J362" s="6"/>
      <c r="K362" s="6"/>
      <c r="L362" s="6"/>
      <c r="M362" s="6"/>
      <c r="N362" s="6"/>
      <c r="O362" s="6"/>
      <c r="P362" s="6"/>
    </row>
    <row r="363" spans="8:16" ht="14.25" customHeight="1" x14ac:dyDescent="0.15">
      <c r="H363" s="6"/>
      <c r="I363" s="6"/>
      <c r="J363" s="6"/>
      <c r="K363" s="6"/>
      <c r="L363" s="6"/>
      <c r="M363" s="6"/>
      <c r="N363" s="6"/>
      <c r="O363" s="6"/>
      <c r="P363" s="6"/>
    </row>
    <row r="364" spans="8:16" ht="14.25" customHeight="1" x14ac:dyDescent="0.15">
      <c r="H364" s="6"/>
      <c r="I364" s="6"/>
      <c r="J364" s="6"/>
      <c r="K364" s="6"/>
      <c r="L364" s="6"/>
      <c r="M364" s="6"/>
      <c r="N364" s="6"/>
      <c r="O364" s="6"/>
      <c r="P364" s="6"/>
    </row>
    <row r="365" spans="8:16" ht="14.25" customHeight="1" x14ac:dyDescent="0.15">
      <c r="H365" s="6"/>
      <c r="I365" s="6"/>
      <c r="J365" s="6"/>
      <c r="K365" s="6"/>
      <c r="L365" s="6"/>
      <c r="M365" s="6"/>
      <c r="N365" s="6"/>
      <c r="O365" s="6"/>
      <c r="P365" s="6"/>
    </row>
    <row r="366" spans="8:16" ht="14.25" customHeight="1" x14ac:dyDescent="0.15">
      <c r="H366" s="6"/>
      <c r="I366" s="6"/>
      <c r="J366" s="6"/>
      <c r="K366" s="6"/>
      <c r="L366" s="6"/>
      <c r="M366" s="6"/>
      <c r="N366" s="6"/>
      <c r="O366" s="6"/>
      <c r="P366" s="6"/>
    </row>
    <row r="367" spans="8:16" ht="14.25" customHeight="1" x14ac:dyDescent="0.15">
      <c r="H367" s="6"/>
      <c r="I367" s="6"/>
      <c r="J367" s="6"/>
      <c r="K367" s="6"/>
      <c r="L367" s="6"/>
      <c r="M367" s="6"/>
      <c r="N367" s="6"/>
      <c r="O367" s="6"/>
      <c r="P367" s="6"/>
    </row>
    <row r="368" spans="8:16" ht="14.25" customHeight="1" x14ac:dyDescent="0.15">
      <c r="H368" s="6"/>
      <c r="I368" s="6"/>
      <c r="J368" s="6"/>
      <c r="K368" s="6"/>
      <c r="L368" s="6"/>
      <c r="M368" s="6"/>
      <c r="N368" s="6"/>
      <c r="O368" s="6"/>
      <c r="P368" s="6"/>
    </row>
    <row r="369" spans="8:16" ht="14.25" customHeight="1" x14ac:dyDescent="0.15">
      <c r="H369" s="6"/>
      <c r="I369" s="6"/>
      <c r="J369" s="6"/>
      <c r="K369" s="6"/>
      <c r="L369" s="6"/>
      <c r="M369" s="6"/>
      <c r="N369" s="6"/>
      <c r="O369" s="6"/>
      <c r="P369" s="6"/>
    </row>
    <row r="370" spans="8:16" ht="14.25" customHeight="1" x14ac:dyDescent="0.15">
      <c r="H370" s="6"/>
      <c r="I370" s="6"/>
      <c r="J370" s="6"/>
      <c r="K370" s="6"/>
      <c r="L370" s="6"/>
      <c r="M370" s="6"/>
      <c r="N370" s="6"/>
      <c r="O370" s="6"/>
      <c r="P370" s="6"/>
    </row>
    <row r="371" spans="8:16" ht="14.25" customHeight="1" x14ac:dyDescent="0.15">
      <c r="H371" s="6"/>
      <c r="I371" s="6"/>
      <c r="J371" s="6"/>
      <c r="K371" s="6"/>
      <c r="L371" s="6"/>
      <c r="M371" s="6"/>
      <c r="N371" s="6"/>
      <c r="O371" s="6"/>
      <c r="P371" s="6"/>
    </row>
    <row r="372" spans="8:16" ht="14.25" customHeight="1" x14ac:dyDescent="0.15">
      <c r="H372" s="6"/>
      <c r="I372" s="6"/>
      <c r="J372" s="6"/>
      <c r="K372" s="6"/>
      <c r="L372" s="6"/>
      <c r="M372" s="6"/>
      <c r="N372" s="6"/>
      <c r="O372" s="6"/>
      <c r="P372" s="6"/>
    </row>
    <row r="373" spans="8:16" ht="14.25" customHeight="1" x14ac:dyDescent="0.15">
      <c r="H373" s="6"/>
      <c r="I373" s="6"/>
      <c r="J373" s="6"/>
      <c r="K373" s="6"/>
      <c r="L373" s="6"/>
      <c r="M373" s="6"/>
      <c r="N373" s="6"/>
      <c r="O373" s="6"/>
      <c r="P373" s="6"/>
    </row>
    <row r="374" spans="8:16" ht="14.25" customHeight="1" x14ac:dyDescent="0.15">
      <c r="H374" s="6"/>
      <c r="I374" s="6"/>
      <c r="J374" s="6"/>
      <c r="K374" s="6"/>
      <c r="L374" s="6"/>
      <c r="M374" s="6"/>
      <c r="N374" s="6"/>
      <c r="O374" s="6"/>
      <c r="P374" s="6"/>
    </row>
    <row r="375" spans="8:16" ht="14.25" customHeight="1" x14ac:dyDescent="0.15">
      <c r="H375" s="6"/>
      <c r="I375" s="6"/>
      <c r="J375" s="6"/>
      <c r="K375" s="6"/>
      <c r="L375" s="6"/>
      <c r="M375" s="6"/>
      <c r="N375" s="6"/>
      <c r="O375" s="6"/>
      <c r="P375" s="6"/>
    </row>
    <row r="376" spans="8:16" ht="14.25" customHeight="1" x14ac:dyDescent="0.15">
      <c r="H376" s="6"/>
      <c r="I376" s="6"/>
      <c r="J376" s="6"/>
      <c r="K376" s="6"/>
      <c r="L376" s="6"/>
      <c r="M376" s="6"/>
      <c r="N376" s="6"/>
      <c r="O376" s="6"/>
      <c r="P376" s="6"/>
    </row>
    <row r="377" spans="8:16" ht="14.25" customHeight="1" x14ac:dyDescent="0.15">
      <c r="H377" s="6"/>
      <c r="I377" s="6"/>
      <c r="J377" s="6"/>
      <c r="K377" s="6"/>
      <c r="L377" s="6"/>
      <c r="M377" s="6"/>
      <c r="N377" s="6"/>
      <c r="O377" s="6"/>
      <c r="P377" s="6"/>
    </row>
    <row r="378" spans="8:16" ht="14.25" customHeight="1" x14ac:dyDescent="0.15">
      <c r="H378" s="6"/>
      <c r="I378" s="6"/>
      <c r="J378" s="6"/>
      <c r="K378" s="6"/>
      <c r="L378" s="6"/>
      <c r="M378" s="6"/>
      <c r="N378" s="6"/>
      <c r="O378" s="6"/>
      <c r="P378" s="6"/>
    </row>
    <row r="379" spans="8:16" ht="14.25" customHeight="1" x14ac:dyDescent="0.15">
      <c r="H379" s="6"/>
      <c r="I379" s="6"/>
      <c r="J379" s="6"/>
      <c r="K379" s="6"/>
      <c r="L379" s="6"/>
      <c r="M379" s="6"/>
      <c r="N379" s="6"/>
      <c r="O379" s="6"/>
      <c r="P379" s="6"/>
    </row>
    <row r="380" spans="8:16" ht="14.25" customHeight="1" x14ac:dyDescent="0.15">
      <c r="H380" s="6"/>
      <c r="I380" s="6"/>
      <c r="J380" s="6"/>
      <c r="K380" s="6"/>
      <c r="L380" s="6"/>
      <c r="M380" s="6"/>
      <c r="N380" s="6"/>
      <c r="O380" s="6"/>
      <c r="P380" s="6"/>
    </row>
    <row r="381" spans="8:16" ht="14.25" customHeight="1" x14ac:dyDescent="0.15">
      <c r="H381" s="6"/>
      <c r="I381" s="6"/>
      <c r="J381" s="6"/>
      <c r="K381" s="6"/>
      <c r="L381" s="6"/>
      <c r="M381" s="6"/>
      <c r="N381" s="6"/>
      <c r="O381" s="6"/>
      <c r="P381" s="6"/>
    </row>
    <row r="382" spans="8:16" ht="14.25" customHeight="1" x14ac:dyDescent="0.15">
      <c r="H382" s="6"/>
      <c r="I382" s="6"/>
      <c r="J382" s="6"/>
      <c r="K382" s="6"/>
      <c r="L382" s="6"/>
      <c r="M382" s="6"/>
      <c r="N382" s="6"/>
      <c r="O382" s="6"/>
      <c r="P382" s="6"/>
    </row>
    <row r="383" spans="8:16" ht="14.25" customHeight="1" x14ac:dyDescent="0.15">
      <c r="H383" s="6"/>
      <c r="I383" s="6"/>
      <c r="J383" s="6"/>
      <c r="K383" s="6"/>
      <c r="L383" s="6"/>
      <c r="M383" s="6"/>
      <c r="N383" s="6"/>
      <c r="O383" s="6"/>
      <c r="P383" s="6"/>
    </row>
    <row r="384" spans="8:16" ht="14.25" customHeight="1" x14ac:dyDescent="0.15">
      <c r="H384" s="6"/>
      <c r="I384" s="6"/>
      <c r="J384" s="6"/>
      <c r="K384" s="6"/>
      <c r="L384" s="6"/>
      <c r="M384" s="6"/>
      <c r="N384" s="6"/>
      <c r="O384" s="6"/>
      <c r="P384" s="6"/>
    </row>
    <row r="385" spans="8:16" ht="14.25" customHeight="1" x14ac:dyDescent="0.15">
      <c r="H385" s="6"/>
      <c r="I385" s="6"/>
      <c r="J385" s="6"/>
      <c r="K385" s="6"/>
      <c r="L385" s="6"/>
      <c r="M385" s="6"/>
      <c r="N385" s="6"/>
      <c r="O385" s="6"/>
      <c r="P385" s="6"/>
    </row>
    <row r="386" spans="8:16" ht="14.25" customHeight="1" x14ac:dyDescent="0.15">
      <c r="H386" s="6"/>
      <c r="I386" s="6"/>
      <c r="J386" s="6"/>
      <c r="K386" s="6"/>
      <c r="L386" s="6"/>
      <c r="M386" s="6"/>
      <c r="N386" s="6"/>
      <c r="O386" s="6"/>
      <c r="P386" s="6"/>
    </row>
    <row r="387" spans="8:16" ht="14.25" customHeight="1" x14ac:dyDescent="0.15">
      <c r="H387" s="6"/>
      <c r="I387" s="6"/>
      <c r="J387" s="6"/>
      <c r="K387" s="6"/>
      <c r="L387" s="6"/>
      <c r="M387" s="6"/>
      <c r="N387" s="6"/>
      <c r="O387" s="6"/>
      <c r="P387" s="6"/>
    </row>
    <row r="388" spans="8:16" ht="14.25" customHeight="1" x14ac:dyDescent="0.15">
      <c r="H388" s="6"/>
      <c r="I388" s="6"/>
      <c r="J388" s="6"/>
      <c r="K388" s="6"/>
      <c r="L388" s="6"/>
      <c r="M388" s="6"/>
      <c r="N388" s="6"/>
      <c r="O388" s="6"/>
      <c r="P388" s="6"/>
    </row>
    <row r="389" spans="8:16" ht="14.25" customHeight="1" x14ac:dyDescent="0.15">
      <c r="H389" s="6"/>
      <c r="I389" s="6"/>
      <c r="J389" s="6"/>
      <c r="K389" s="6"/>
      <c r="L389" s="6"/>
      <c r="M389" s="6"/>
      <c r="N389" s="6"/>
      <c r="O389" s="6"/>
      <c r="P389" s="6"/>
    </row>
    <row r="390" spans="8:16" ht="14.25" customHeight="1" x14ac:dyDescent="0.15">
      <c r="H390" s="6"/>
      <c r="I390" s="6"/>
      <c r="J390" s="6"/>
      <c r="K390" s="6"/>
      <c r="L390" s="6"/>
      <c r="M390" s="6"/>
      <c r="N390" s="6"/>
      <c r="O390" s="6"/>
      <c r="P390" s="6"/>
    </row>
    <row r="391" spans="8:16" ht="14.25" customHeight="1" x14ac:dyDescent="0.15">
      <c r="H391" s="6"/>
      <c r="I391" s="6"/>
      <c r="J391" s="6"/>
      <c r="K391" s="6"/>
      <c r="L391" s="6"/>
      <c r="M391" s="6"/>
      <c r="N391" s="6"/>
      <c r="O391" s="6"/>
      <c r="P391" s="6"/>
    </row>
    <row r="392" spans="8:16" ht="14.25" customHeight="1" x14ac:dyDescent="0.15">
      <c r="H392" s="6"/>
      <c r="I392" s="6"/>
      <c r="J392" s="6"/>
      <c r="K392" s="6"/>
      <c r="L392" s="6"/>
      <c r="M392" s="6"/>
      <c r="N392" s="6"/>
      <c r="O392" s="6"/>
      <c r="P392" s="6"/>
    </row>
    <row r="393" spans="8:16" ht="14.25" customHeight="1" x14ac:dyDescent="0.15">
      <c r="H393" s="6"/>
      <c r="I393" s="6"/>
      <c r="J393" s="6"/>
      <c r="K393" s="6"/>
      <c r="L393" s="6"/>
      <c r="M393" s="6"/>
      <c r="N393" s="6"/>
      <c r="O393" s="6"/>
      <c r="P393" s="6"/>
    </row>
    <row r="394" spans="8:16" ht="14.25" customHeight="1" x14ac:dyDescent="0.15">
      <c r="H394" s="6"/>
      <c r="I394" s="6"/>
      <c r="J394" s="6"/>
      <c r="K394" s="6"/>
      <c r="L394" s="6"/>
      <c r="M394" s="6"/>
      <c r="N394" s="6"/>
      <c r="O394" s="6"/>
      <c r="P394" s="6"/>
    </row>
    <row r="395" spans="8:16" ht="14.25" customHeight="1" x14ac:dyDescent="0.15">
      <c r="H395" s="6"/>
      <c r="I395" s="6"/>
      <c r="J395" s="6"/>
      <c r="K395" s="6"/>
      <c r="L395" s="6"/>
      <c r="M395" s="6"/>
      <c r="N395" s="6"/>
      <c r="O395" s="6"/>
      <c r="P395" s="6"/>
    </row>
    <row r="396" spans="8:16" ht="14.25" customHeight="1" x14ac:dyDescent="0.15">
      <c r="H396" s="6"/>
      <c r="I396" s="6"/>
      <c r="J396" s="6"/>
      <c r="K396" s="6"/>
      <c r="L396" s="6"/>
      <c r="M396" s="6"/>
      <c r="N396" s="6"/>
      <c r="O396" s="6"/>
      <c r="P396" s="6"/>
    </row>
    <row r="397" spans="8:16" ht="14.25" customHeight="1" x14ac:dyDescent="0.15">
      <c r="H397" s="6"/>
      <c r="I397" s="6"/>
      <c r="J397" s="6"/>
      <c r="K397" s="6"/>
      <c r="L397" s="6"/>
      <c r="M397" s="6"/>
      <c r="N397" s="6"/>
      <c r="O397" s="6"/>
      <c r="P397" s="6"/>
    </row>
    <row r="398" spans="8:16" ht="14.25" customHeight="1" x14ac:dyDescent="0.15">
      <c r="H398" s="6"/>
      <c r="I398" s="6"/>
      <c r="J398" s="6"/>
      <c r="K398" s="6"/>
      <c r="L398" s="6"/>
      <c r="M398" s="6"/>
      <c r="N398" s="6"/>
      <c r="O398" s="6"/>
      <c r="P398" s="6"/>
    </row>
    <row r="399" spans="8:16" ht="14.25" customHeight="1" x14ac:dyDescent="0.15">
      <c r="H399" s="6"/>
      <c r="I399" s="6"/>
      <c r="J399" s="6"/>
      <c r="K399" s="6"/>
      <c r="L399" s="6"/>
      <c r="M399" s="6"/>
      <c r="N399" s="6"/>
      <c r="O399" s="6"/>
      <c r="P399" s="6"/>
    </row>
    <row r="400" spans="8:16" ht="14.25" customHeight="1" x14ac:dyDescent="0.15">
      <c r="H400" s="6"/>
      <c r="I400" s="6"/>
      <c r="J400" s="6"/>
      <c r="K400" s="6"/>
      <c r="L400" s="6"/>
      <c r="M400" s="6"/>
      <c r="N400" s="6"/>
      <c r="O400" s="6"/>
      <c r="P400" s="6"/>
    </row>
    <row r="401" spans="8:16" ht="14.25" customHeight="1" x14ac:dyDescent="0.15">
      <c r="H401" s="6"/>
      <c r="I401" s="6"/>
      <c r="J401" s="6"/>
      <c r="K401" s="6"/>
      <c r="L401" s="6"/>
      <c r="M401" s="6"/>
      <c r="N401" s="6"/>
      <c r="O401" s="6"/>
      <c r="P401" s="6"/>
    </row>
    <row r="402" spans="8:16" ht="14.25" customHeight="1" x14ac:dyDescent="0.15">
      <c r="H402" s="6"/>
      <c r="I402" s="6"/>
      <c r="J402" s="6"/>
      <c r="K402" s="6"/>
      <c r="L402" s="6"/>
      <c r="M402" s="6"/>
      <c r="N402" s="6"/>
      <c r="O402" s="6"/>
      <c r="P402" s="6"/>
    </row>
    <row r="403" spans="8:16" ht="14.25" customHeight="1" x14ac:dyDescent="0.15">
      <c r="H403" s="6"/>
      <c r="I403" s="6"/>
      <c r="J403" s="6"/>
      <c r="K403" s="6"/>
      <c r="L403" s="6"/>
      <c r="M403" s="6"/>
      <c r="N403" s="6"/>
      <c r="O403" s="6"/>
      <c r="P403" s="6"/>
    </row>
    <row r="404" spans="8:16" ht="14.25" customHeight="1" x14ac:dyDescent="0.15">
      <c r="H404" s="6"/>
      <c r="I404" s="6"/>
      <c r="J404" s="6"/>
      <c r="K404" s="6"/>
      <c r="L404" s="6"/>
      <c r="M404" s="6"/>
      <c r="N404" s="6"/>
      <c r="O404" s="6"/>
      <c r="P404" s="6"/>
    </row>
    <row r="405" spans="8:16" ht="14.25" customHeight="1" x14ac:dyDescent="0.15">
      <c r="H405" s="6"/>
      <c r="I405" s="6"/>
      <c r="J405" s="6"/>
      <c r="K405" s="6"/>
      <c r="L405" s="6"/>
      <c r="M405" s="6"/>
      <c r="N405" s="6"/>
      <c r="O405" s="6"/>
      <c r="P405" s="6"/>
    </row>
    <row r="406" spans="8:16" ht="14.25" customHeight="1" x14ac:dyDescent="0.15">
      <c r="H406" s="6"/>
      <c r="I406" s="6"/>
      <c r="J406" s="6"/>
      <c r="K406" s="6"/>
      <c r="L406" s="6"/>
      <c r="M406" s="6"/>
      <c r="N406" s="6"/>
      <c r="O406" s="6"/>
      <c r="P406" s="6"/>
    </row>
    <row r="407" spans="8:16" ht="14.25" customHeight="1" x14ac:dyDescent="0.15">
      <c r="H407" s="6"/>
      <c r="I407" s="6"/>
      <c r="J407" s="6"/>
      <c r="K407" s="6"/>
      <c r="L407" s="6"/>
      <c r="M407" s="6"/>
      <c r="N407" s="6"/>
      <c r="O407" s="6"/>
      <c r="P407" s="6"/>
    </row>
    <row r="408" spans="8:16" ht="14.25" customHeight="1" x14ac:dyDescent="0.15">
      <c r="H408" s="6"/>
      <c r="I408" s="6"/>
      <c r="J408" s="6"/>
      <c r="K408" s="6"/>
      <c r="L408" s="6"/>
      <c r="M408" s="6"/>
      <c r="N408" s="6"/>
      <c r="O408" s="6"/>
      <c r="P408" s="6"/>
    </row>
    <row r="409" spans="8:16" ht="14.25" customHeight="1" x14ac:dyDescent="0.15">
      <c r="H409" s="6"/>
      <c r="I409" s="6"/>
      <c r="J409" s="6"/>
      <c r="K409" s="6"/>
      <c r="L409" s="6"/>
      <c r="M409" s="6"/>
      <c r="N409" s="6"/>
      <c r="O409" s="6"/>
      <c r="P409" s="6"/>
    </row>
    <row r="410" spans="8:16" ht="14.25" customHeight="1" x14ac:dyDescent="0.15">
      <c r="H410" s="6"/>
      <c r="I410" s="6"/>
      <c r="J410" s="6"/>
      <c r="K410" s="6"/>
      <c r="L410" s="6"/>
      <c r="M410" s="6"/>
      <c r="N410" s="6"/>
      <c r="O410" s="6"/>
      <c r="P410" s="6"/>
    </row>
    <row r="411" spans="8:16" ht="14.25" customHeight="1" x14ac:dyDescent="0.15">
      <c r="H411" s="6"/>
      <c r="I411" s="6"/>
      <c r="J411" s="6"/>
      <c r="K411" s="6"/>
      <c r="L411" s="6"/>
      <c r="M411" s="6"/>
      <c r="N411" s="6"/>
      <c r="O411" s="6"/>
      <c r="P411" s="6"/>
    </row>
    <row r="412" spans="8:16" ht="14.25" customHeight="1" x14ac:dyDescent="0.15">
      <c r="H412" s="6"/>
      <c r="I412" s="6"/>
      <c r="J412" s="6"/>
      <c r="K412" s="6"/>
      <c r="L412" s="6"/>
      <c r="M412" s="6"/>
      <c r="N412" s="6"/>
      <c r="O412" s="6"/>
      <c r="P412" s="6"/>
    </row>
    <row r="413" spans="8:16" ht="14.25" customHeight="1" x14ac:dyDescent="0.15">
      <c r="H413" s="6"/>
      <c r="I413" s="6"/>
      <c r="J413" s="6"/>
      <c r="K413" s="6"/>
      <c r="L413" s="6"/>
      <c r="M413" s="6"/>
      <c r="N413" s="6"/>
      <c r="O413" s="6"/>
      <c r="P413" s="6"/>
    </row>
    <row r="414" spans="8:16" ht="14.25" customHeight="1" x14ac:dyDescent="0.15">
      <c r="H414" s="6"/>
      <c r="I414" s="6"/>
      <c r="J414" s="6"/>
      <c r="K414" s="6"/>
      <c r="L414" s="6"/>
      <c r="M414" s="6"/>
      <c r="N414" s="6"/>
      <c r="O414" s="6"/>
      <c r="P414" s="6"/>
    </row>
    <row r="415" spans="8:16" ht="14.25" customHeight="1" x14ac:dyDescent="0.15">
      <c r="H415" s="6"/>
      <c r="I415" s="6"/>
      <c r="J415" s="6"/>
      <c r="K415" s="6"/>
      <c r="L415" s="6"/>
      <c r="M415" s="6"/>
      <c r="N415" s="6"/>
      <c r="O415" s="6"/>
      <c r="P415" s="6"/>
    </row>
    <row r="416" spans="8:16" ht="14.25" customHeight="1" x14ac:dyDescent="0.15">
      <c r="H416" s="6"/>
      <c r="I416" s="6"/>
      <c r="J416" s="6"/>
      <c r="K416" s="6"/>
      <c r="L416" s="6"/>
      <c r="M416" s="6"/>
      <c r="N416" s="6"/>
      <c r="O416" s="6"/>
      <c r="P416" s="6"/>
    </row>
    <row r="417" spans="8:16" ht="14.25" customHeight="1" x14ac:dyDescent="0.15">
      <c r="H417" s="6"/>
      <c r="I417" s="6"/>
      <c r="J417" s="6"/>
      <c r="K417" s="6"/>
      <c r="L417" s="6"/>
      <c r="M417" s="6"/>
      <c r="N417" s="6"/>
      <c r="O417" s="6"/>
      <c r="P417" s="6"/>
    </row>
    <row r="418" spans="8:16" ht="14.25" customHeight="1" x14ac:dyDescent="0.15">
      <c r="H418" s="6"/>
      <c r="I418" s="6"/>
      <c r="J418" s="6"/>
      <c r="K418" s="6"/>
      <c r="L418" s="6"/>
      <c r="M418" s="6"/>
      <c r="N418" s="6"/>
      <c r="O418" s="6"/>
      <c r="P418" s="6"/>
    </row>
    <row r="419" spans="8:16" ht="14.25" customHeight="1" x14ac:dyDescent="0.15">
      <c r="H419" s="6"/>
      <c r="I419" s="6"/>
      <c r="J419" s="6"/>
      <c r="K419" s="6"/>
      <c r="L419" s="6"/>
      <c r="M419" s="6"/>
      <c r="N419" s="6"/>
      <c r="O419" s="6"/>
      <c r="P419" s="6"/>
    </row>
    <row r="420" spans="8:16" ht="14.25" customHeight="1" x14ac:dyDescent="0.15">
      <c r="H420" s="6"/>
      <c r="I420" s="6"/>
      <c r="J420" s="6"/>
      <c r="K420" s="6"/>
      <c r="L420" s="6"/>
      <c r="M420" s="6"/>
      <c r="N420" s="6"/>
      <c r="O420" s="6"/>
      <c r="P420" s="6"/>
    </row>
    <row r="421" spans="8:16" ht="14.25" customHeight="1" x14ac:dyDescent="0.15">
      <c r="H421" s="6"/>
      <c r="I421" s="6"/>
      <c r="J421" s="6"/>
      <c r="K421" s="6"/>
      <c r="L421" s="6"/>
      <c r="M421" s="6"/>
      <c r="N421" s="6"/>
      <c r="O421" s="6"/>
      <c r="P421" s="6"/>
    </row>
    <row r="422" spans="8:16" ht="14.25" customHeight="1" x14ac:dyDescent="0.15">
      <c r="H422" s="6"/>
      <c r="I422" s="6"/>
      <c r="J422" s="6"/>
      <c r="K422" s="6"/>
      <c r="L422" s="6"/>
      <c r="M422" s="6"/>
      <c r="N422" s="6"/>
      <c r="O422" s="6"/>
      <c r="P422" s="6"/>
    </row>
    <row r="423" spans="8:16" ht="14.25" customHeight="1" x14ac:dyDescent="0.15">
      <c r="H423" s="6"/>
      <c r="I423" s="6"/>
      <c r="J423" s="6"/>
      <c r="K423" s="6"/>
      <c r="L423" s="6"/>
      <c r="M423" s="6"/>
      <c r="N423" s="6"/>
      <c r="O423" s="6"/>
      <c r="P423" s="6"/>
    </row>
    <row r="424" spans="8:16" ht="14.25" customHeight="1" x14ac:dyDescent="0.15">
      <c r="H424" s="6"/>
      <c r="I424" s="6"/>
      <c r="J424" s="6"/>
      <c r="K424" s="6"/>
      <c r="L424" s="6"/>
      <c r="M424" s="6"/>
      <c r="N424" s="6"/>
      <c r="O424" s="6"/>
      <c r="P424" s="6"/>
    </row>
    <row r="425" spans="8:16" ht="14.25" customHeight="1" x14ac:dyDescent="0.15">
      <c r="H425" s="6"/>
      <c r="I425" s="6"/>
      <c r="J425" s="6"/>
      <c r="K425" s="6"/>
      <c r="L425" s="6"/>
      <c r="M425" s="6"/>
      <c r="N425" s="6"/>
      <c r="O425" s="6"/>
      <c r="P425" s="6"/>
    </row>
    <row r="426" spans="8:16" ht="14.25" customHeight="1" x14ac:dyDescent="0.15">
      <c r="H426" s="6"/>
      <c r="I426" s="6"/>
      <c r="J426" s="6"/>
      <c r="K426" s="6"/>
      <c r="L426" s="6"/>
      <c r="M426" s="6"/>
      <c r="N426" s="6"/>
      <c r="O426" s="6"/>
      <c r="P426" s="6"/>
    </row>
    <row r="427" spans="8:16" ht="14.25" customHeight="1" x14ac:dyDescent="0.15">
      <c r="H427" s="6"/>
      <c r="I427" s="6"/>
      <c r="J427" s="6"/>
      <c r="K427" s="6"/>
      <c r="L427" s="6"/>
      <c r="M427" s="6"/>
      <c r="N427" s="6"/>
      <c r="O427" s="6"/>
      <c r="P427" s="6"/>
    </row>
    <row r="428" spans="8:16" ht="14.25" customHeight="1" x14ac:dyDescent="0.15">
      <c r="H428" s="6"/>
      <c r="I428" s="6"/>
      <c r="J428" s="6"/>
      <c r="K428" s="6"/>
      <c r="L428" s="6"/>
      <c r="M428" s="6"/>
      <c r="N428" s="6"/>
      <c r="O428" s="6"/>
      <c r="P428" s="6"/>
    </row>
    <row r="429" spans="8:16" ht="14.25" customHeight="1" x14ac:dyDescent="0.15">
      <c r="H429" s="6"/>
      <c r="I429" s="6"/>
      <c r="J429" s="6"/>
      <c r="K429" s="6"/>
      <c r="L429" s="6"/>
      <c r="M429" s="6"/>
      <c r="N429" s="6"/>
      <c r="O429" s="6"/>
      <c r="P429" s="6"/>
    </row>
    <row r="430" spans="8:16" ht="14.25" customHeight="1" x14ac:dyDescent="0.15">
      <c r="H430" s="6"/>
      <c r="I430" s="6"/>
      <c r="J430" s="6"/>
      <c r="K430" s="6"/>
      <c r="L430" s="6"/>
      <c r="M430" s="6"/>
      <c r="N430" s="6"/>
      <c r="O430" s="6"/>
      <c r="P430" s="6"/>
    </row>
    <row r="431" spans="8:16" ht="14.25" customHeight="1" x14ac:dyDescent="0.15">
      <c r="H431" s="6"/>
      <c r="I431" s="6"/>
      <c r="J431" s="6"/>
      <c r="K431" s="6"/>
      <c r="L431" s="6"/>
      <c r="M431" s="6"/>
      <c r="N431" s="6"/>
      <c r="O431" s="6"/>
      <c r="P431" s="6"/>
    </row>
    <row r="432" spans="8:16" ht="14.25" customHeight="1" x14ac:dyDescent="0.15">
      <c r="H432" s="6"/>
      <c r="I432" s="6"/>
      <c r="J432" s="6"/>
      <c r="K432" s="6"/>
      <c r="L432" s="6"/>
      <c r="M432" s="6"/>
      <c r="N432" s="6"/>
      <c r="O432" s="6"/>
      <c r="P432" s="6"/>
    </row>
    <row r="433" spans="8:16" ht="14.25" customHeight="1" x14ac:dyDescent="0.15">
      <c r="H433" s="6"/>
      <c r="I433" s="6"/>
      <c r="J433" s="6"/>
      <c r="K433" s="6"/>
      <c r="L433" s="6"/>
      <c r="M433" s="6"/>
      <c r="N433" s="6"/>
      <c r="O433" s="6"/>
      <c r="P433" s="6"/>
    </row>
    <row r="434" spans="8:16" ht="14.25" customHeight="1" x14ac:dyDescent="0.15">
      <c r="H434" s="6"/>
      <c r="I434" s="6"/>
      <c r="J434" s="6"/>
      <c r="K434" s="6"/>
      <c r="L434" s="6"/>
      <c r="M434" s="6"/>
      <c r="N434" s="6"/>
      <c r="O434" s="6"/>
      <c r="P434" s="6"/>
    </row>
    <row r="435" spans="8:16" ht="14.25" customHeight="1" x14ac:dyDescent="0.15">
      <c r="H435" s="6"/>
      <c r="I435" s="6"/>
      <c r="J435" s="6"/>
      <c r="K435" s="6"/>
      <c r="L435" s="6"/>
      <c r="M435" s="6"/>
      <c r="N435" s="6"/>
      <c r="O435" s="6"/>
      <c r="P435" s="6"/>
    </row>
    <row r="436" spans="8:16" ht="14.25" customHeight="1" x14ac:dyDescent="0.15">
      <c r="H436" s="6"/>
      <c r="I436" s="6"/>
      <c r="J436" s="6"/>
      <c r="K436" s="6"/>
      <c r="L436" s="6"/>
      <c r="M436" s="6"/>
      <c r="N436" s="6"/>
      <c r="O436" s="6"/>
      <c r="P436" s="6"/>
    </row>
    <row r="437" spans="8:16" ht="14.25" customHeight="1" x14ac:dyDescent="0.15">
      <c r="H437" s="6"/>
      <c r="I437" s="6"/>
      <c r="J437" s="6"/>
      <c r="K437" s="6"/>
      <c r="L437" s="6"/>
      <c r="M437" s="6"/>
      <c r="N437" s="6"/>
      <c r="O437" s="6"/>
      <c r="P437" s="6"/>
    </row>
    <row r="438" spans="8:16" ht="14.25" customHeight="1" x14ac:dyDescent="0.15">
      <c r="H438" s="6"/>
      <c r="I438" s="6"/>
      <c r="J438" s="6"/>
      <c r="K438" s="6"/>
      <c r="L438" s="6"/>
      <c r="M438" s="6"/>
      <c r="N438" s="6"/>
      <c r="O438" s="6"/>
      <c r="P438" s="6"/>
    </row>
    <row r="439" spans="8:16" ht="14.25" customHeight="1" x14ac:dyDescent="0.15">
      <c r="H439" s="6"/>
      <c r="I439" s="6"/>
      <c r="J439" s="6"/>
      <c r="K439" s="6"/>
      <c r="L439" s="6"/>
      <c r="M439" s="6"/>
      <c r="N439" s="6"/>
      <c r="O439" s="6"/>
      <c r="P439" s="6"/>
    </row>
    <row r="440" spans="8:16" ht="14.25" customHeight="1" x14ac:dyDescent="0.15">
      <c r="H440" s="6"/>
      <c r="I440" s="6"/>
      <c r="J440" s="6"/>
      <c r="K440" s="6"/>
      <c r="L440" s="6"/>
      <c r="M440" s="6"/>
      <c r="N440" s="6"/>
      <c r="O440" s="6"/>
      <c r="P440" s="6"/>
    </row>
    <row r="441" spans="8:16" ht="14.25" customHeight="1" x14ac:dyDescent="0.15">
      <c r="H441" s="6"/>
      <c r="I441" s="6"/>
      <c r="J441" s="6"/>
      <c r="K441" s="6"/>
      <c r="L441" s="6"/>
      <c r="M441" s="6"/>
      <c r="N441" s="6"/>
      <c r="O441" s="6"/>
      <c r="P441" s="6"/>
    </row>
    <row r="442" spans="8:16" ht="14.25" customHeight="1" x14ac:dyDescent="0.15">
      <c r="H442" s="6"/>
      <c r="I442" s="6"/>
      <c r="J442" s="6"/>
      <c r="K442" s="6"/>
      <c r="L442" s="6"/>
      <c r="M442" s="6"/>
      <c r="N442" s="6"/>
      <c r="O442" s="6"/>
      <c r="P442" s="6"/>
    </row>
    <row r="443" spans="8:16" ht="14.25" customHeight="1" x14ac:dyDescent="0.15">
      <c r="H443" s="6"/>
      <c r="I443" s="6"/>
      <c r="J443" s="6"/>
      <c r="K443" s="6"/>
      <c r="L443" s="6"/>
      <c r="M443" s="6"/>
      <c r="N443" s="6"/>
      <c r="O443" s="6"/>
      <c r="P443" s="6"/>
    </row>
    <row r="444" spans="8:16" ht="14.25" customHeight="1" x14ac:dyDescent="0.15">
      <c r="H444" s="6"/>
      <c r="I444" s="6"/>
      <c r="J444" s="6"/>
      <c r="K444" s="6"/>
      <c r="L444" s="6"/>
      <c r="M444" s="6"/>
      <c r="N444" s="6"/>
      <c r="O444" s="6"/>
      <c r="P444" s="6"/>
    </row>
    <row r="445" spans="8:16" ht="14.25" customHeight="1" x14ac:dyDescent="0.15">
      <c r="H445" s="6"/>
      <c r="I445" s="6"/>
      <c r="J445" s="6"/>
      <c r="K445" s="6"/>
      <c r="L445" s="6"/>
      <c r="M445" s="6"/>
      <c r="N445" s="6"/>
      <c r="O445" s="6"/>
      <c r="P445" s="6"/>
    </row>
    <row r="446" spans="8:16" ht="14.25" customHeight="1" x14ac:dyDescent="0.15">
      <c r="H446" s="6"/>
      <c r="I446" s="6"/>
      <c r="J446" s="6"/>
      <c r="K446" s="6"/>
      <c r="L446" s="6"/>
      <c r="M446" s="6"/>
      <c r="N446" s="6"/>
      <c r="O446" s="6"/>
      <c r="P446" s="6"/>
    </row>
    <row r="447" spans="8:16" ht="14.25" customHeight="1" x14ac:dyDescent="0.15">
      <c r="H447" s="6"/>
      <c r="I447" s="6"/>
      <c r="J447" s="6"/>
      <c r="K447" s="6"/>
      <c r="L447" s="6"/>
      <c r="M447" s="6"/>
      <c r="N447" s="6"/>
      <c r="O447" s="6"/>
      <c r="P447" s="6"/>
    </row>
    <row r="448" spans="8:16" ht="14.25" customHeight="1" x14ac:dyDescent="0.15">
      <c r="H448" s="6"/>
      <c r="I448" s="6"/>
      <c r="J448" s="6"/>
      <c r="K448" s="6"/>
      <c r="L448" s="6"/>
      <c r="M448" s="6"/>
      <c r="N448" s="6"/>
      <c r="O448" s="6"/>
      <c r="P448" s="6"/>
    </row>
    <row r="449" spans="8:16" ht="14.25" customHeight="1" x14ac:dyDescent="0.15">
      <c r="H449" s="6"/>
      <c r="I449" s="6"/>
      <c r="J449" s="6"/>
      <c r="K449" s="6"/>
      <c r="L449" s="6"/>
      <c r="M449" s="6"/>
      <c r="N449" s="6"/>
      <c r="O449" s="6"/>
      <c r="P449" s="6"/>
    </row>
    <row r="450" spans="8:16" ht="14.25" customHeight="1" x14ac:dyDescent="0.15">
      <c r="H450" s="6"/>
      <c r="I450" s="6"/>
      <c r="J450" s="6"/>
      <c r="K450" s="6"/>
      <c r="L450" s="6"/>
      <c r="M450" s="6"/>
      <c r="N450" s="6"/>
      <c r="O450" s="6"/>
      <c r="P450" s="6"/>
    </row>
    <row r="451" spans="8:16" ht="14.25" customHeight="1" x14ac:dyDescent="0.15">
      <c r="H451" s="6"/>
      <c r="I451" s="6"/>
      <c r="J451" s="6"/>
      <c r="K451" s="6"/>
      <c r="L451" s="6"/>
      <c r="M451" s="6"/>
      <c r="N451" s="6"/>
      <c r="O451" s="6"/>
      <c r="P451" s="6"/>
    </row>
    <row r="452" spans="8:16" ht="14.25" customHeight="1" x14ac:dyDescent="0.15">
      <c r="H452" s="6"/>
      <c r="I452" s="6"/>
      <c r="J452" s="6"/>
      <c r="K452" s="6"/>
      <c r="L452" s="6"/>
      <c r="M452" s="6"/>
      <c r="N452" s="6"/>
      <c r="O452" s="6"/>
      <c r="P452" s="6"/>
    </row>
    <row r="453" spans="8:16" ht="14.25" customHeight="1" x14ac:dyDescent="0.15">
      <c r="H453" s="6"/>
      <c r="I453" s="6"/>
      <c r="J453" s="6"/>
      <c r="K453" s="6"/>
      <c r="L453" s="6"/>
      <c r="M453" s="6"/>
      <c r="N453" s="6"/>
      <c r="O453" s="6"/>
      <c r="P453" s="6"/>
    </row>
    <row r="454" spans="8:16" ht="14.25" customHeight="1" x14ac:dyDescent="0.15">
      <c r="H454" s="6"/>
      <c r="I454" s="6"/>
      <c r="J454" s="6"/>
      <c r="K454" s="6"/>
      <c r="L454" s="6"/>
      <c r="M454" s="6"/>
      <c r="N454" s="6"/>
      <c r="O454" s="6"/>
      <c r="P454" s="6"/>
    </row>
    <row r="455" spans="8:16" ht="14.25" customHeight="1" x14ac:dyDescent="0.15">
      <c r="H455" s="6"/>
      <c r="I455" s="6"/>
      <c r="J455" s="6"/>
      <c r="K455" s="6"/>
      <c r="L455" s="6"/>
      <c r="M455" s="6"/>
      <c r="N455" s="6"/>
      <c r="O455" s="6"/>
      <c r="P455" s="6"/>
    </row>
    <row r="456" spans="8:16" ht="14.25" customHeight="1" x14ac:dyDescent="0.15">
      <c r="H456" s="6"/>
      <c r="I456" s="6"/>
      <c r="J456" s="6"/>
      <c r="K456" s="6"/>
      <c r="L456" s="6"/>
      <c r="M456" s="6"/>
      <c r="N456" s="6"/>
      <c r="O456" s="6"/>
      <c r="P456" s="6"/>
    </row>
    <row r="457" spans="8:16" ht="14.25" customHeight="1" x14ac:dyDescent="0.15">
      <c r="H457" s="6"/>
      <c r="I457" s="6"/>
      <c r="J457" s="6"/>
      <c r="K457" s="6"/>
      <c r="L457" s="6"/>
      <c r="M457" s="6"/>
      <c r="N457" s="6"/>
      <c r="O457" s="6"/>
      <c r="P457" s="6"/>
    </row>
    <row r="458" spans="8:16" ht="14.25" customHeight="1" x14ac:dyDescent="0.15">
      <c r="H458" s="6"/>
      <c r="I458" s="6"/>
      <c r="J458" s="6"/>
      <c r="K458" s="6"/>
      <c r="L458" s="6"/>
      <c r="M458" s="6"/>
      <c r="N458" s="6"/>
      <c r="O458" s="6"/>
      <c r="P458" s="6"/>
    </row>
    <row r="459" spans="8:16" ht="14.25" customHeight="1" x14ac:dyDescent="0.15">
      <c r="H459" s="6"/>
      <c r="I459" s="6"/>
      <c r="J459" s="6"/>
      <c r="K459" s="6"/>
      <c r="L459" s="6"/>
      <c r="M459" s="6"/>
      <c r="N459" s="6"/>
      <c r="O459" s="6"/>
      <c r="P459" s="6"/>
    </row>
    <row r="460" spans="8:16" ht="14.25" customHeight="1" x14ac:dyDescent="0.15">
      <c r="H460" s="6"/>
      <c r="I460" s="6"/>
      <c r="J460" s="6"/>
      <c r="K460" s="6"/>
      <c r="L460" s="6"/>
      <c r="M460" s="6"/>
      <c r="N460" s="6"/>
      <c r="O460" s="6"/>
      <c r="P460" s="6"/>
    </row>
    <row r="461" spans="8:16" ht="14.25" customHeight="1" x14ac:dyDescent="0.15">
      <c r="H461" s="6"/>
      <c r="I461" s="6"/>
      <c r="J461" s="6"/>
      <c r="K461" s="6"/>
      <c r="L461" s="6"/>
      <c r="M461" s="6"/>
      <c r="N461" s="6"/>
      <c r="O461" s="6"/>
      <c r="P461" s="6"/>
    </row>
    <row r="462" spans="8:16" ht="14.25" customHeight="1" x14ac:dyDescent="0.15">
      <c r="H462" s="6"/>
      <c r="I462" s="6"/>
      <c r="J462" s="6"/>
      <c r="K462" s="6"/>
      <c r="L462" s="6"/>
      <c r="M462" s="6"/>
      <c r="N462" s="6"/>
      <c r="O462" s="6"/>
      <c r="P462" s="6"/>
    </row>
    <row r="463" spans="8:16" ht="14.25" customHeight="1" x14ac:dyDescent="0.15">
      <c r="H463" s="6"/>
      <c r="I463" s="6"/>
      <c r="J463" s="6"/>
      <c r="K463" s="6"/>
      <c r="L463" s="6"/>
      <c r="M463" s="6"/>
      <c r="N463" s="6"/>
      <c r="O463" s="6"/>
      <c r="P463" s="6"/>
    </row>
    <row r="464" spans="8:16" ht="14.25" customHeight="1" x14ac:dyDescent="0.15">
      <c r="H464" s="6"/>
      <c r="I464" s="6"/>
      <c r="J464" s="6"/>
      <c r="K464" s="6"/>
      <c r="L464" s="6"/>
      <c r="M464" s="6"/>
      <c r="N464" s="6"/>
      <c r="O464" s="6"/>
      <c r="P464" s="6"/>
    </row>
    <row r="465" spans="8:16" ht="14.25" customHeight="1" x14ac:dyDescent="0.15">
      <c r="H465" s="6"/>
      <c r="I465" s="6"/>
      <c r="J465" s="6"/>
      <c r="K465" s="6"/>
      <c r="L465" s="6"/>
      <c r="M465" s="6"/>
      <c r="N465" s="6"/>
      <c r="O465" s="6"/>
      <c r="P465" s="6"/>
    </row>
    <row r="466" spans="8:16" ht="14.25" customHeight="1" x14ac:dyDescent="0.15">
      <c r="H466" s="6"/>
      <c r="I466" s="6"/>
      <c r="J466" s="6"/>
      <c r="K466" s="6"/>
      <c r="L466" s="6"/>
      <c r="M466" s="6"/>
      <c r="N466" s="6"/>
      <c r="O466" s="6"/>
      <c r="P466" s="6"/>
    </row>
    <row r="467" spans="8:16" ht="14.25" customHeight="1" x14ac:dyDescent="0.15">
      <c r="H467" s="6"/>
      <c r="I467" s="6"/>
      <c r="J467" s="6"/>
      <c r="K467" s="6"/>
      <c r="L467" s="6"/>
      <c r="M467" s="6"/>
      <c r="N467" s="6"/>
      <c r="O467" s="6"/>
      <c r="P467" s="6"/>
    </row>
    <row r="468" spans="8:16" ht="14.25" customHeight="1" x14ac:dyDescent="0.15">
      <c r="H468" s="6"/>
      <c r="I468" s="6"/>
      <c r="J468" s="6"/>
      <c r="K468" s="6"/>
      <c r="L468" s="6"/>
      <c r="M468" s="6"/>
      <c r="N468" s="6"/>
      <c r="O468" s="6"/>
      <c r="P468" s="6"/>
    </row>
    <row r="469" spans="8:16" ht="14.25" customHeight="1" x14ac:dyDescent="0.15">
      <c r="H469" s="6"/>
      <c r="I469" s="6"/>
      <c r="J469" s="6"/>
      <c r="K469" s="6"/>
      <c r="L469" s="6"/>
      <c r="M469" s="6"/>
      <c r="N469" s="6"/>
      <c r="O469" s="6"/>
      <c r="P469" s="6"/>
    </row>
    <row r="470" spans="8:16" ht="14.25" customHeight="1" x14ac:dyDescent="0.15">
      <c r="H470" s="6"/>
      <c r="I470" s="6"/>
      <c r="J470" s="6"/>
      <c r="K470" s="6"/>
      <c r="L470" s="6"/>
      <c r="M470" s="6"/>
      <c r="N470" s="6"/>
      <c r="O470" s="6"/>
      <c r="P470" s="6"/>
    </row>
    <row r="471" spans="8:16" ht="14.25" customHeight="1" x14ac:dyDescent="0.15">
      <c r="H471" s="6"/>
      <c r="I471" s="6"/>
      <c r="J471" s="6"/>
      <c r="K471" s="6"/>
      <c r="L471" s="6"/>
      <c r="M471" s="6"/>
      <c r="N471" s="6"/>
      <c r="O471" s="6"/>
      <c r="P471" s="6"/>
    </row>
    <row r="472" spans="8:16" ht="14.25" customHeight="1" x14ac:dyDescent="0.15">
      <c r="H472" s="6"/>
      <c r="I472" s="6"/>
      <c r="J472" s="6"/>
      <c r="K472" s="6"/>
      <c r="L472" s="6"/>
      <c r="M472" s="6"/>
      <c r="N472" s="6"/>
      <c r="O472" s="6"/>
      <c r="P472" s="6"/>
    </row>
    <row r="473" spans="8:16" ht="14.25" customHeight="1" x14ac:dyDescent="0.15">
      <c r="H473" s="6"/>
      <c r="I473" s="6"/>
      <c r="J473" s="6"/>
      <c r="K473" s="6"/>
      <c r="L473" s="6"/>
      <c r="M473" s="6"/>
      <c r="N473" s="6"/>
      <c r="O473" s="6"/>
      <c r="P473" s="6"/>
    </row>
    <row r="474" spans="8:16" ht="14.25" customHeight="1" x14ac:dyDescent="0.15">
      <c r="H474" s="6"/>
      <c r="I474" s="6"/>
      <c r="J474" s="6"/>
      <c r="K474" s="6"/>
      <c r="L474" s="6"/>
      <c r="M474" s="6"/>
      <c r="N474" s="6"/>
      <c r="O474" s="6"/>
      <c r="P474" s="6"/>
    </row>
    <row r="475" spans="8:16" ht="14.25" customHeight="1" x14ac:dyDescent="0.15">
      <c r="H475" s="6"/>
      <c r="I475" s="6"/>
      <c r="J475" s="6"/>
      <c r="K475" s="6"/>
      <c r="L475" s="6"/>
      <c r="M475" s="6"/>
      <c r="N475" s="6"/>
      <c r="O475" s="6"/>
      <c r="P475" s="6"/>
    </row>
    <row r="476" spans="8:16" ht="14.25" customHeight="1" x14ac:dyDescent="0.15">
      <c r="H476" s="6"/>
      <c r="I476" s="6"/>
      <c r="J476" s="6"/>
      <c r="K476" s="6"/>
      <c r="L476" s="6"/>
      <c r="M476" s="6"/>
      <c r="N476" s="6"/>
      <c r="O476" s="6"/>
      <c r="P476" s="6"/>
    </row>
    <row r="477" spans="8:16" ht="14.25" customHeight="1" x14ac:dyDescent="0.15">
      <c r="H477" s="6"/>
      <c r="I477" s="6"/>
      <c r="J477" s="6"/>
      <c r="K477" s="6"/>
      <c r="L477" s="6"/>
      <c r="M477" s="6"/>
      <c r="N477" s="6"/>
      <c r="O477" s="6"/>
      <c r="P477" s="6"/>
    </row>
    <row r="478" spans="8:16" ht="14.25" customHeight="1" x14ac:dyDescent="0.15">
      <c r="H478" s="6"/>
      <c r="I478" s="6"/>
      <c r="J478" s="6"/>
      <c r="K478" s="6"/>
      <c r="L478" s="6"/>
      <c r="M478" s="6"/>
      <c r="N478" s="6"/>
      <c r="O478" s="6"/>
      <c r="P478" s="6"/>
    </row>
    <row r="479" spans="8:16" ht="14.25" customHeight="1" x14ac:dyDescent="0.15">
      <c r="H479" s="6"/>
      <c r="I479" s="6"/>
      <c r="J479" s="6"/>
      <c r="K479" s="6"/>
      <c r="L479" s="6"/>
      <c r="M479" s="6"/>
      <c r="N479" s="6"/>
      <c r="O479" s="6"/>
      <c r="P479" s="6"/>
    </row>
    <row r="480" spans="8:16" ht="14.25" customHeight="1" x14ac:dyDescent="0.15">
      <c r="H480" s="6"/>
      <c r="I480" s="6"/>
      <c r="J480" s="6"/>
      <c r="K480" s="6"/>
      <c r="L480" s="6"/>
      <c r="M480" s="6"/>
      <c r="N480" s="6"/>
      <c r="O480" s="6"/>
      <c r="P480" s="6"/>
    </row>
    <row r="481" spans="8:16" ht="14.25" customHeight="1" x14ac:dyDescent="0.15">
      <c r="H481" s="6"/>
      <c r="I481" s="6"/>
      <c r="J481" s="6"/>
      <c r="K481" s="6"/>
      <c r="L481" s="6"/>
      <c r="M481" s="6"/>
      <c r="N481" s="6"/>
      <c r="O481" s="6"/>
      <c r="P481" s="6"/>
    </row>
    <row r="482" spans="8:16" ht="14.25" customHeight="1" x14ac:dyDescent="0.15">
      <c r="H482" s="6"/>
      <c r="I482" s="6"/>
      <c r="J482" s="6"/>
      <c r="K482" s="6"/>
      <c r="L482" s="6"/>
      <c r="M482" s="6"/>
      <c r="N482" s="6"/>
      <c r="O482" s="6"/>
      <c r="P482" s="6"/>
    </row>
    <row r="483" spans="8:16" ht="14.25" customHeight="1" x14ac:dyDescent="0.15">
      <c r="H483" s="6"/>
      <c r="I483" s="6"/>
      <c r="J483" s="6"/>
      <c r="K483" s="6"/>
      <c r="L483" s="6"/>
      <c r="M483" s="6"/>
      <c r="N483" s="6"/>
      <c r="O483" s="6"/>
      <c r="P483" s="6"/>
    </row>
    <row r="484" spans="8:16" ht="14.25" customHeight="1" x14ac:dyDescent="0.15">
      <c r="H484" s="6"/>
      <c r="I484" s="6"/>
      <c r="J484" s="6"/>
      <c r="K484" s="6"/>
      <c r="L484" s="6"/>
      <c r="M484" s="6"/>
      <c r="N484" s="6"/>
      <c r="O484" s="6"/>
      <c r="P484" s="6"/>
    </row>
    <row r="485" spans="8:16" ht="14.25" customHeight="1" x14ac:dyDescent="0.15">
      <c r="H485" s="6"/>
      <c r="I485" s="6"/>
      <c r="J485" s="6"/>
      <c r="K485" s="6"/>
      <c r="L485" s="6"/>
      <c r="M485" s="6"/>
      <c r="N485" s="6"/>
      <c r="O485" s="6"/>
      <c r="P485" s="6"/>
    </row>
    <row r="486" spans="8:16" ht="14.25" customHeight="1" x14ac:dyDescent="0.15">
      <c r="H486" s="6"/>
      <c r="I486" s="6"/>
      <c r="J486" s="6"/>
      <c r="K486" s="6"/>
      <c r="L486" s="6"/>
      <c r="M486" s="6"/>
      <c r="N486" s="6"/>
      <c r="O486" s="6"/>
      <c r="P486" s="6"/>
    </row>
    <row r="487" spans="8:16" ht="14.25" customHeight="1" x14ac:dyDescent="0.15">
      <c r="H487" s="6"/>
      <c r="I487" s="6"/>
      <c r="J487" s="6"/>
      <c r="K487" s="6"/>
      <c r="L487" s="6"/>
      <c r="M487" s="6"/>
      <c r="N487" s="6"/>
      <c r="O487" s="6"/>
      <c r="P487" s="6"/>
    </row>
    <row r="488" spans="8:16" ht="14.25" customHeight="1" x14ac:dyDescent="0.15">
      <c r="H488" s="6"/>
      <c r="I488" s="6"/>
      <c r="J488" s="6"/>
      <c r="K488" s="6"/>
      <c r="L488" s="6"/>
      <c r="M488" s="6"/>
      <c r="N488" s="6"/>
      <c r="O488" s="6"/>
      <c r="P488" s="6"/>
    </row>
    <row r="489" spans="8:16" ht="14.25" customHeight="1" x14ac:dyDescent="0.15">
      <c r="H489" s="6"/>
      <c r="I489" s="6"/>
      <c r="J489" s="6"/>
      <c r="K489" s="6"/>
      <c r="L489" s="6"/>
      <c r="M489" s="6"/>
      <c r="N489" s="6"/>
      <c r="O489" s="6"/>
      <c r="P489" s="6"/>
    </row>
    <row r="490" spans="8:16" ht="14.25" customHeight="1" x14ac:dyDescent="0.15">
      <c r="H490" s="6"/>
      <c r="I490" s="6"/>
      <c r="J490" s="6"/>
      <c r="K490" s="6"/>
      <c r="L490" s="6"/>
      <c r="M490" s="6"/>
      <c r="N490" s="6"/>
      <c r="O490" s="6"/>
      <c r="P490" s="6"/>
    </row>
    <row r="491" spans="8:16" ht="14.25" customHeight="1" x14ac:dyDescent="0.15">
      <c r="H491" s="6"/>
      <c r="I491" s="6"/>
      <c r="J491" s="6"/>
      <c r="K491" s="6"/>
      <c r="L491" s="6"/>
      <c r="M491" s="6"/>
      <c r="N491" s="6"/>
      <c r="O491" s="6"/>
      <c r="P491" s="6"/>
    </row>
    <row r="492" spans="8:16" ht="14.25" customHeight="1" x14ac:dyDescent="0.15">
      <c r="H492" s="6"/>
      <c r="I492" s="6"/>
      <c r="J492" s="6"/>
      <c r="K492" s="6"/>
      <c r="L492" s="6"/>
      <c r="M492" s="6"/>
      <c r="N492" s="6"/>
      <c r="O492" s="6"/>
      <c r="P492" s="6"/>
    </row>
    <row r="493" spans="8:16" ht="14.25" customHeight="1" x14ac:dyDescent="0.15">
      <c r="H493" s="6"/>
      <c r="I493" s="6"/>
      <c r="J493" s="6"/>
      <c r="K493" s="6"/>
      <c r="L493" s="6"/>
      <c r="M493" s="6"/>
      <c r="N493" s="6"/>
      <c r="O493" s="6"/>
      <c r="P493" s="6"/>
    </row>
    <row r="494" spans="8:16" ht="14.25" customHeight="1" x14ac:dyDescent="0.15">
      <c r="H494" s="6"/>
      <c r="I494" s="6"/>
      <c r="J494" s="6"/>
      <c r="K494" s="6"/>
      <c r="L494" s="6"/>
      <c r="M494" s="6"/>
      <c r="N494" s="6"/>
      <c r="O494" s="6"/>
      <c r="P494" s="6"/>
    </row>
    <row r="495" spans="8:16" ht="14.25" customHeight="1" x14ac:dyDescent="0.15">
      <c r="H495" s="6"/>
      <c r="I495" s="6"/>
      <c r="J495" s="6"/>
      <c r="K495" s="6"/>
      <c r="L495" s="6"/>
      <c r="M495" s="6"/>
      <c r="N495" s="6"/>
      <c r="O495" s="6"/>
      <c r="P495" s="6"/>
    </row>
    <row r="496" spans="8:16" ht="14.25" customHeight="1" x14ac:dyDescent="0.15">
      <c r="H496" s="6"/>
      <c r="I496" s="6"/>
      <c r="J496" s="6"/>
      <c r="K496" s="6"/>
      <c r="L496" s="6"/>
      <c r="M496" s="6"/>
      <c r="N496" s="6"/>
      <c r="O496" s="6"/>
      <c r="P496" s="6"/>
    </row>
    <row r="497" spans="8:16" ht="14.25" customHeight="1" x14ac:dyDescent="0.15">
      <c r="H497" s="6"/>
      <c r="I497" s="6"/>
      <c r="J497" s="6"/>
      <c r="K497" s="6"/>
      <c r="L497" s="6"/>
      <c r="M497" s="6"/>
      <c r="N497" s="6"/>
      <c r="O497" s="6"/>
      <c r="P497" s="6"/>
    </row>
    <row r="498" spans="8:16" ht="14.25" customHeight="1" x14ac:dyDescent="0.15">
      <c r="H498" s="6"/>
      <c r="I498" s="6"/>
      <c r="J498" s="6"/>
      <c r="K498" s="6"/>
      <c r="L498" s="6"/>
      <c r="M498" s="6"/>
      <c r="N498" s="6"/>
      <c r="O498" s="6"/>
      <c r="P498" s="6"/>
    </row>
    <row r="499" spans="8:16" ht="14.25" customHeight="1" x14ac:dyDescent="0.15">
      <c r="H499" s="6"/>
      <c r="I499" s="6"/>
      <c r="J499" s="6"/>
      <c r="K499" s="6"/>
      <c r="L499" s="6"/>
      <c r="M499" s="6"/>
      <c r="N499" s="6"/>
      <c r="O499" s="6"/>
      <c r="P499" s="6"/>
    </row>
    <row r="500" spans="8:16" ht="14.25" customHeight="1" x14ac:dyDescent="0.15">
      <c r="H500" s="6"/>
      <c r="I500" s="6"/>
      <c r="J500" s="6"/>
      <c r="K500" s="6"/>
      <c r="L500" s="6"/>
      <c r="M500" s="6"/>
      <c r="N500" s="6"/>
      <c r="O500" s="6"/>
      <c r="P500" s="6"/>
    </row>
    <row r="501" spans="8:16" ht="14.25" customHeight="1" x14ac:dyDescent="0.15">
      <c r="H501" s="6"/>
      <c r="I501" s="6"/>
      <c r="J501" s="6"/>
      <c r="K501" s="6"/>
      <c r="L501" s="6"/>
      <c r="M501" s="6"/>
      <c r="N501" s="6"/>
      <c r="O501" s="6"/>
      <c r="P501" s="6"/>
    </row>
    <row r="502" spans="8:16" ht="14.25" customHeight="1" x14ac:dyDescent="0.15">
      <c r="H502" s="6"/>
      <c r="I502" s="6"/>
      <c r="J502" s="6"/>
      <c r="K502" s="6"/>
      <c r="L502" s="6"/>
      <c r="M502" s="6"/>
      <c r="N502" s="6"/>
      <c r="O502" s="6"/>
      <c r="P502" s="6"/>
    </row>
    <row r="503" spans="8:16" ht="14.25" customHeight="1" x14ac:dyDescent="0.15">
      <c r="H503" s="6"/>
      <c r="I503" s="6"/>
      <c r="J503" s="6"/>
      <c r="K503" s="6"/>
      <c r="L503" s="6"/>
      <c r="M503" s="6"/>
      <c r="N503" s="6"/>
      <c r="O503" s="6"/>
      <c r="P503" s="6"/>
    </row>
    <row r="504" spans="8:16" ht="14.25" customHeight="1" x14ac:dyDescent="0.15">
      <c r="H504" s="6"/>
      <c r="I504" s="6"/>
      <c r="J504" s="6"/>
      <c r="K504" s="6"/>
      <c r="L504" s="6"/>
      <c r="M504" s="6"/>
      <c r="N504" s="6"/>
      <c r="O504" s="6"/>
      <c r="P504" s="6"/>
    </row>
    <row r="505" spans="8:16" ht="14.25" customHeight="1" x14ac:dyDescent="0.15">
      <c r="H505" s="6"/>
      <c r="I505" s="6"/>
      <c r="J505" s="6"/>
      <c r="K505" s="6"/>
      <c r="L505" s="6"/>
      <c r="M505" s="6"/>
      <c r="N505" s="6"/>
      <c r="O505" s="6"/>
      <c r="P505" s="6"/>
    </row>
    <row r="506" spans="8:16" ht="14.25" customHeight="1" x14ac:dyDescent="0.15">
      <c r="H506" s="6"/>
      <c r="I506" s="6"/>
      <c r="J506" s="6"/>
      <c r="K506" s="6"/>
      <c r="L506" s="6"/>
      <c r="M506" s="6"/>
      <c r="N506" s="6"/>
      <c r="O506" s="6"/>
      <c r="P506" s="6"/>
    </row>
    <row r="507" spans="8:16" ht="14.25" customHeight="1" x14ac:dyDescent="0.15">
      <c r="H507" s="6"/>
      <c r="I507" s="6"/>
      <c r="J507" s="6"/>
      <c r="K507" s="6"/>
      <c r="L507" s="6"/>
      <c r="M507" s="6"/>
      <c r="N507" s="6"/>
      <c r="O507" s="6"/>
      <c r="P507" s="6"/>
    </row>
    <row r="508" spans="8:16" ht="14.25" customHeight="1" x14ac:dyDescent="0.15">
      <c r="H508" s="6"/>
      <c r="I508" s="6"/>
      <c r="J508" s="6"/>
      <c r="K508" s="6"/>
      <c r="L508" s="6"/>
      <c r="M508" s="6"/>
      <c r="N508" s="6"/>
      <c r="O508" s="6"/>
      <c r="P508" s="6"/>
    </row>
    <row r="509" spans="8:16" ht="14.25" customHeight="1" x14ac:dyDescent="0.15">
      <c r="H509" s="6"/>
      <c r="I509" s="6"/>
      <c r="J509" s="6"/>
      <c r="K509" s="6"/>
      <c r="L509" s="6"/>
      <c r="M509" s="6"/>
      <c r="N509" s="6"/>
      <c r="O509" s="6"/>
      <c r="P509" s="6"/>
    </row>
    <row r="510" spans="8:16" ht="14.25" customHeight="1" x14ac:dyDescent="0.15">
      <c r="H510" s="6"/>
      <c r="I510" s="6"/>
      <c r="J510" s="6"/>
      <c r="K510" s="6"/>
      <c r="L510" s="6"/>
      <c r="M510" s="6"/>
      <c r="N510" s="6"/>
      <c r="O510" s="6"/>
      <c r="P510" s="6"/>
    </row>
    <row r="511" spans="8:16" ht="14.25" customHeight="1" x14ac:dyDescent="0.15">
      <c r="H511" s="6"/>
      <c r="I511" s="6"/>
      <c r="J511" s="6"/>
      <c r="K511" s="6"/>
      <c r="L511" s="6"/>
      <c r="M511" s="6"/>
      <c r="N511" s="6"/>
      <c r="O511" s="6"/>
      <c r="P511" s="6"/>
    </row>
    <row r="512" spans="8:16" ht="14.25" customHeight="1" x14ac:dyDescent="0.15">
      <c r="H512" s="6"/>
      <c r="I512" s="6"/>
      <c r="J512" s="6"/>
      <c r="K512" s="6"/>
      <c r="L512" s="6"/>
      <c r="M512" s="6"/>
      <c r="N512" s="6"/>
      <c r="O512" s="6"/>
      <c r="P512" s="6"/>
    </row>
    <row r="513" spans="8:16" ht="14.25" customHeight="1" x14ac:dyDescent="0.15">
      <c r="H513" s="6"/>
      <c r="I513" s="6"/>
      <c r="J513" s="6"/>
      <c r="K513" s="6"/>
      <c r="L513" s="6"/>
      <c r="M513" s="6"/>
      <c r="N513" s="6"/>
      <c r="O513" s="6"/>
      <c r="P513" s="6"/>
    </row>
    <row r="514" spans="8:16" ht="14.25" customHeight="1" x14ac:dyDescent="0.15">
      <c r="H514" s="6"/>
      <c r="I514" s="6"/>
      <c r="J514" s="6"/>
      <c r="K514" s="6"/>
      <c r="L514" s="6"/>
      <c r="M514" s="6"/>
      <c r="N514" s="6"/>
      <c r="O514" s="6"/>
      <c r="P514" s="6"/>
    </row>
    <row r="515" spans="8:16" ht="14.25" customHeight="1" x14ac:dyDescent="0.15">
      <c r="H515" s="6"/>
      <c r="I515" s="6"/>
      <c r="J515" s="6"/>
      <c r="K515" s="6"/>
      <c r="L515" s="6"/>
      <c r="M515" s="6"/>
      <c r="N515" s="6"/>
      <c r="O515" s="6"/>
      <c r="P515" s="6"/>
    </row>
    <row r="516" spans="8:16" ht="14.25" customHeight="1" x14ac:dyDescent="0.15">
      <c r="H516" s="6"/>
      <c r="I516" s="6"/>
      <c r="J516" s="6"/>
      <c r="K516" s="6"/>
      <c r="L516" s="6"/>
      <c r="M516" s="6"/>
      <c r="N516" s="6"/>
      <c r="O516" s="6"/>
      <c r="P516" s="6"/>
    </row>
    <row r="517" spans="8:16" ht="14.25" customHeight="1" x14ac:dyDescent="0.15">
      <c r="H517" s="6"/>
      <c r="I517" s="6"/>
      <c r="J517" s="6"/>
      <c r="K517" s="6"/>
      <c r="L517" s="6"/>
      <c r="M517" s="6"/>
      <c r="N517" s="6"/>
      <c r="O517" s="6"/>
      <c r="P517" s="6"/>
    </row>
    <row r="518" spans="8:16" ht="14.25" customHeight="1" x14ac:dyDescent="0.15">
      <c r="H518" s="6"/>
      <c r="I518" s="6"/>
      <c r="J518" s="6"/>
      <c r="K518" s="6"/>
      <c r="L518" s="6"/>
      <c r="M518" s="6"/>
      <c r="N518" s="6"/>
      <c r="O518" s="6"/>
      <c r="P518" s="6"/>
    </row>
    <row r="519" spans="8:16" ht="14.25" customHeight="1" x14ac:dyDescent="0.15">
      <c r="H519" s="6"/>
      <c r="I519" s="6"/>
      <c r="J519" s="6"/>
      <c r="K519" s="6"/>
      <c r="L519" s="6"/>
      <c r="M519" s="6"/>
      <c r="N519" s="6"/>
      <c r="O519" s="6"/>
      <c r="P519" s="6"/>
    </row>
    <row r="520" spans="8:16" ht="14.25" customHeight="1" x14ac:dyDescent="0.15">
      <c r="H520" s="6"/>
      <c r="I520" s="6"/>
      <c r="J520" s="6"/>
      <c r="K520" s="6"/>
      <c r="L520" s="6"/>
      <c r="M520" s="6"/>
      <c r="N520" s="6"/>
      <c r="O520" s="6"/>
      <c r="P520" s="6"/>
    </row>
    <row r="521" spans="8:16" ht="14.25" customHeight="1" x14ac:dyDescent="0.15">
      <c r="H521" s="6"/>
      <c r="I521" s="6"/>
      <c r="J521" s="6"/>
      <c r="K521" s="6"/>
      <c r="L521" s="6"/>
      <c r="M521" s="6"/>
      <c r="N521" s="6"/>
      <c r="O521" s="6"/>
      <c r="P521" s="6"/>
    </row>
    <row r="522" spans="8:16" ht="14.25" customHeight="1" x14ac:dyDescent="0.15">
      <c r="H522" s="6"/>
      <c r="I522" s="6"/>
      <c r="J522" s="6"/>
      <c r="K522" s="6"/>
      <c r="L522" s="6"/>
      <c r="M522" s="6"/>
      <c r="N522" s="6"/>
      <c r="O522" s="6"/>
      <c r="P522" s="6"/>
    </row>
    <row r="523" spans="8:16" ht="14.25" customHeight="1" x14ac:dyDescent="0.15">
      <c r="H523" s="6"/>
      <c r="I523" s="6"/>
      <c r="J523" s="6"/>
      <c r="K523" s="6"/>
      <c r="L523" s="6"/>
      <c r="M523" s="6"/>
      <c r="N523" s="6"/>
      <c r="O523" s="6"/>
      <c r="P523" s="6"/>
    </row>
    <row r="524" spans="8:16" ht="14.25" customHeight="1" x14ac:dyDescent="0.15">
      <c r="H524" s="6"/>
      <c r="I524" s="6"/>
      <c r="J524" s="6"/>
      <c r="K524" s="6"/>
      <c r="L524" s="6"/>
      <c r="M524" s="6"/>
      <c r="N524" s="6"/>
      <c r="O524" s="6"/>
      <c r="P524" s="6"/>
    </row>
    <row r="525" spans="8:16" ht="14.25" customHeight="1" x14ac:dyDescent="0.15">
      <c r="H525" s="6"/>
      <c r="I525" s="6"/>
      <c r="J525" s="6"/>
      <c r="K525" s="6"/>
      <c r="L525" s="6"/>
      <c r="M525" s="6"/>
      <c r="N525" s="6"/>
      <c r="O525" s="6"/>
      <c r="P525" s="6"/>
    </row>
    <row r="526" spans="8:16" ht="14.25" customHeight="1" x14ac:dyDescent="0.15">
      <c r="H526" s="6"/>
      <c r="I526" s="6"/>
      <c r="J526" s="6"/>
      <c r="K526" s="6"/>
      <c r="L526" s="6"/>
      <c r="M526" s="6"/>
      <c r="N526" s="6"/>
      <c r="O526" s="6"/>
      <c r="P526" s="6"/>
    </row>
    <row r="527" spans="8:16" ht="14.25" customHeight="1" x14ac:dyDescent="0.15">
      <c r="H527" s="6"/>
      <c r="I527" s="6"/>
      <c r="J527" s="6"/>
      <c r="K527" s="6"/>
      <c r="L527" s="6"/>
      <c r="M527" s="6"/>
      <c r="N527" s="6"/>
      <c r="O527" s="6"/>
      <c r="P527" s="6"/>
    </row>
    <row r="528" spans="8:16" ht="14.25" customHeight="1" x14ac:dyDescent="0.15">
      <c r="H528" s="6"/>
      <c r="I528" s="6"/>
      <c r="J528" s="6"/>
      <c r="K528" s="6"/>
      <c r="L528" s="6"/>
      <c r="M528" s="6"/>
      <c r="N528" s="6"/>
      <c r="O528" s="6"/>
      <c r="P528" s="6"/>
    </row>
    <row r="529" spans="8:16" ht="14.25" customHeight="1" x14ac:dyDescent="0.15">
      <c r="H529" s="6"/>
      <c r="I529" s="6"/>
      <c r="J529" s="6"/>
      <c r="K529" s="6"/>
      <c r="L529" s="6"/>
      <c r="M529" s="6"/>
      <c r="N529" s="6"/>
      <c r="O529" s="6"/>
      <c r="P529" s="6"/>
    </row>
    <row r="530" spans="8:16" ht="14.25" customHeight="1" x14ac:dyDescent="0.15">
      <c r="H530" s="6"/>
      <c r="I530" s="6"/>
      <c r="J530" s="6"/>
      <c r="K530" s="6"/>
      <c r="L530" s="6"/>
      <c r="M530" s="6"/>
      <c r="N530" s="6"/>
      <c r="O530" s="6"/>
      <c r="P530" s="6"/>
    </row>
    <row r="531" spans="8:16" ht="14.25" customHeight="1" x14ac:dyDescent="0.15">
      <c r="H531" s="6"/>
      <c r="I531" s="6"/>
      <c r="J531" s="6"/>
      <c r="K531" s="6"/>
      <c r="L531" s="6"/>
      <c r="M531" s="6"/>
      <c r="N531" s="6"/>
      <c r="O531" s="6"/>
      <c r="P531" s="6"/>
    </row>
    <row r="532" spans="8:16" ht="14.25" customHeight="1" x14ac:dyDescent="0.15">
      <c r="H532" s="6"/>
      <c r="I532" s="6"/>
      <c r="J532" s="6"/>
      <c r="K532" s="6"/>
      <c r="L532" s="6"/>
      <c r="M532" s="6"/>
      <c r="N532" s="6"/>
      <c r="O532" s="6"/>
      <c r="P532" s="6"/>
    </row>
    <row r="533" spans="8:16" ht="14.25" customHeight="1" x14ac:dyDescent="0.15">
      <c r="H533" s="6"/>
      <c r="I533" s="6"/>
      <c r="J533" s="6"/>
      <c r="K533" s="6"/>
      <c r="L533" s="6"/>
      <c r="M533" s="6"/>
      <c r="N533" s="6"/>
      <c r="O533" s="6"/>
      <c r="P533" s="6"/>
    </row>
    <row r="534" spans="8:16" ht="14.25" customHeight="1" x14ac:dyDescent="0.15">
      <c r="H534" s="6"/>
      <c r="I534" s="6"/>
      <c r="J534" s="6"/>
      <c r="K534" s="6"/>
      <c r="L534" s="6"/>
      <c r="M534" s="6"/>
      <c r="N534" s="6"/>
      <c r="O534" s="6"/>
      <c r="P534" s="6"/>
    </row>
    <row r="535" spans="8:16" ht="14.25" customHeight="1" x14ac:dyDescent="0.15">
      <c r="H535" s="6"/>
      <c r="I535" s="6"/>
      <c r="J535" s="6"/>
      <c r="K535" s="6"/>
      <c r="L535" s="6"/>
      <c r="M535" s="6"/>
      <c r="N535" s="6"/>
      <c r="O535" s="6"/>
      <c r="P535" s="6"/>
    </row>
    <row r="536" spans="8:16" ht="14.25" customHeight="1" x14ac:dyDescent="0.15">
      <c r="H536" s="6"/>
      <c r="I536" s="6"/>
      <c r="J536" s="6"/>
      <c r="K536" s="6"/>
      <c r="L536" s="6"/>
      <c r="M536" s="6"/>
      <c r="N536" s="6"/>
      <c r="O536" s="6"/>
      <c r="P536" s="6"/>
    </row>
    <row r="537" spans="8:16" ht="14.25" customHeight="1" x14ac:dyDescent="0.15">
      <c r="H537" s="6"/>
      <c r="I537" s="6"/>
      <c r="J537" s="6"/>
      <c r="K537" s="6"/>
      <c r="L537" s="6"/>
      <c r="M537" s="6"/>
      <c r="N537" s="6"/>
      <c r="O537" s="6"/>
      <c r="P537" s="6"/>
    </row>
    <row r="538" spans="8:16" ht="14.25" customHeight="1" x14ac:dyDescent="0.15">
      <c r="H538" s="6"/>
      <c r="I538" s="6"/>
      <c r="J538" s="6"/>
      <c r="K538" s="6"/>
      <c r="L538" s="6"/>
      <c r="M538" s="6"/>
      <c r="N538" s="6"/>
      <c r="O538" s="6"/>
      <c r="P538" s="6"/>
    </row>
    <row r="539" spans="8:16" ht="14.25" customHeight="1" x14ac:dyDescent="0.15">
      <c r="H539" s="6"/>
      <c r="I539" s="6"/>
      <c r="J539" s="6"/>
      <c r="K539" s="6"/>
      <c r="L539" s="6"/>
      <c r="M539" s="6"/>
      <c r="N539" s="6"/>
      <c r="O539" s="6"/>
      <c r="P539" s="6"/>
    </row>
    <row r="540" spans="8:16" ht="14.25" customHeight="1" x14ac:dyDescent="0.15">
      <c r="H540" s="6"/>
      <c r="I540" s="6"/>
      <c r="J540" s="6"/>
      <c r="K540" s="6"/>
      <c r="L540" s="6"/>
      <c r="M540" s="6"/>
      <c r="N540" s="6"/>
      <c r="O540" s="6"/>
      <c r="P540" s="6"/>
    </row>
    <row r="541" spans="8:16" ht="14.25" customHeight="1" x14ac:dyDescent="0.15">
      <c r="H541" s="6"/>
      <c r="I541" s="6"/>
      <c r="J541" s="6"/>
      <c r="K541" s="6"/>
      <c r="L541" s="6"/>
      <c r="M541" s="6"/>
      <c r="N541" s="6"/>
      <c r="O541" s="6"/>
      <c r="P541" s="6"/>
    </row>
    <row r="542" spans="8:16" ht="14.25" customHeight="1" x14ac:dyDescent="0.15">
      <c r="H542" s="6"/>
      <c r="I542" s="6"/>
      <c r="J542" s="6"/>
      <c r="K542" s="6"/>
      <c r="L542" s="6"/>
      <c r="M542" s="6"/>
      <c r="N542" s="6"/>
      <c r="O542" s="6"/>
      <c r="P542" s="6"/>
    </row>
    <row r="543" spans="8:16" ht="14.25" customHeight="1" x14ac:dyDescent="0.15">
      <c r="H543" s="6"/>
      <c r="I543" s="6"/>
      <c r="J543" s="6"/>
      <c r="K543" s="6"/>
      <c r="L543" s="6"/>
      <c r="M543" s="6"/>
      <c r="N543" s="6"/>
      <c r="O543" s="6"/>
      <c r="P543" s="6"/>
    </row>
    <row r="544" spans="8:16" ht="14.25" customHeight="1" x14ac:dyDescent="0.15">
      <c r="H544" s="6"/>
      <c r="I544" s="6"/>
      <c r="J544" s="6"/>
      <c r="K544" s="6"/>
      <c r="L544" s="6"/>
      <c r="M544" s="6"/>
      <c r="N544" s="6"/>
      <c r="O544" s="6"/>
      <c r="P544" s="6"/>
    </row>
    <row r="545" spans="8:16" ht="14.25" customHeight="1" x14ac:dyDescent="0.15">
      <c r="H545" s="6"/>
      <c r="I545" s="6"/>
      <c r="J545" s="6"/>
      <c r="K545" s="6"/>
      <c r="L545" s="6"/>
      <c r="M545" s="6"/>
      <c r="N545" s="6"/>
      <c r="O545" s="6"/>
      <c r="P545" s="6"/>
    </row>
    <row r="546" spans="8:16" ht="14.25" customHeight="1" x14ac:dyDescent="0.15">
      <c r="H546" s="6"/>
      <c r="I546" s="6"/>
      <c r="J546" s="6"/>
      <c r="K546" s="6"/>
      <c r="L546" s="6"/>
      <c r="M546" s="6"/>
      <c r="N546" s="6"/>
      <c r="O546" s="6"/>
      <c r="P546" s="6"/>
    </row>
    <row r="547" spans="8:16" ht="14.25" customHeight="1" x14ac:dyDescent="0.15">
      <c r="H547" s="6"/>
      <c r="I547" s="6"/>
      <c r="J547" s="6"/>
      <c r="K547" s="6"/>
      <c r="L547" s="6"/>
      <c r="M547" s="6"/>
      <c r="N547" s="6"/>
      <c r="O547" s="6"/>
      <c r="P547" s="6"/>
    </row>
    <row r="548" spans="8:16" ht="14.25" customHeight="1" x14ac:dyDescent="0.15">
      <c r="H548" s="6"/>
      <c r="I548" s="6"/>
      <c r="J548" s="6"/>
      <c r="K548" s="6"/>
      <c r="L548" s="6"/>
      <c r="M548" s="6"/>
      <c r="N548" s="6"/>
      <c r="O548" s="6"/>
      <c r="P548" s="6"/>
    </row>
    <row r="549" spans="8:16" ht="14.25" customHeight="1" x14ac:dyDescent="0.15">
      <c r="H549" s="6"/>
      <c r="I549" s="6"/>
      <c r="J549" s="6"/>
      <c r="K549" s="6"/>
      <c r="L549" s="6"/>
      <c r="M549" s="6"/>
      <c r="N549" s="6"/>
      <c r="O549" s="6"/>
      <c r="P549" s="6"/>
    </row>
    <row r="550" spans="8:16" ht="14.25" customHeight="1" x14ac:dyDescent="0.15">
      <c r="H550" s="6"/>
      <c r="I550" s="6"/>
      <c r="J550" s="6"/>
      <c r="K550" s="6"/>
      <c r="L550" s="6"/>
      <c r="M550" s="6"/>
      <c r="N550" s="6"/>
      <c r="O550" s="6"/>
      <c r="P550" s="6"/>
    </row>
    <row r="551" spans="8:16" ht="14.25" customHeight="1" x14ac:dyDescent="0.15">
      <c r="H551" s="6"/>
      <c r="I551" s="6"/>
      <c r="J551" s="6"/>
      <c r="K551" s="6"/>
      <c r="L551" s="6"/>
      <c r="M551" s="6"/>
      <c r="N551" s="6"/>
      <c r="O551" s="6"/>
      <c r="P551" s="6"/>
    </row>
    <row r="552" spans="8:16" ht="14.25" customHeight="1" x14ac:dyDescent="0.15">
      <c r="H552" s="6"/>
      <c r="I552" s="6"/>
      <c r="J552" s="6"/>
      <c r="K552" s="6"/>
      <c r="L552" s="6"/>
      <c r="M552" s="6"/>
      <c r="N552" s="6"/>
      <c r="O552" s="6"/>
      <c r="P552" s="6"/>
    </row>
    <row r="553" spans="8:16" ht="14.25" customHeight="1" x14ac:dyDescent="0.15">
      <c r="H553" s="6"/>
      <c r="I553" s="6"/>
      <c r="J553" s="6"/>
      <c r="K553" s="6"/>
      <c r="L553" s="6"/>
      <c r="M553" s="6"/>
      <c r="N553" s="6"/>
      <c r="O553" s="6"/>
      <c r="P553" s="6"/>
    </row>
    <row r="554" spans="8:16" ht="14.25" customHeight="1" x14ac:dyDescent="0.15">
      <c r="H554" s="6"/>
      <c r="I554" s="6"/>
      <c r="J554" s="6"/>
      <c r="K554" s="6"/>
      <c r="L554" s="6"/>
      <c r="M554" s="6"/>
      <c r="N554" s="6"/>
      <c r="O554" s="6"/>
      <c r="P554" s="6"/>
    </row>
    <row r="555" spans="8:16" ht="14.25" customHeight="1" x14ac:dyDescent="0.15">
      <c r="H555" s="6"/>
      <c r="I555" s="6"/>
      <c r="J555" s="6"/>
      <c r="K555" s="6"/>
      <c r="L555" s="6"/>
      <c r="M555" s="6"/>
      <c r="N555" s="6"/>
      <c r="O555" s="6"/>
      <c r="P555" s="6"/>
    </row>
    <row r="556" spans="8:16" ht="14.25" customHeight="1" x14ac:dyDescent="0.15">
      <c r="H556" s="6"/>
      <c r="I556" s="6"/>
      <c r="J556" s="6"/>
      <c r="K556" s="6"/>
      <c r="L556" s="6"/>
      <c r="M556" s="6"/>
      <c r="N556" s="6"/>
      <c r="O556" s="6"/>
      <c r="P556" s="6"/>
    </row>
    <row r="557" spans="8:16" ht="14.25" customHeight="1" x14ac:dyDescent="0.15">
      <c r="H557" s="6"/>
      <c r="I557" s="6"/>
      <c r="J557" s="6"/>
      <c r="K557" s="6"/>
      <c r="L557" s="6"/>
      <c r="M557" s="6"/>
      <c r="N557" s="6"/>
      <c r="O557" s="6"/>
      <c r="P557" s="6"/>
    </row>
    <row r="558" spans="8:16" ht="14.25" customHeight="1" x14ac:dyDescent="0.15">
      <c r="H558" s="6"/>
      <c r="I558" s="6"/>
      <c r="J558" s="6"/>
      <c r="K558" s="6"/>
      <c r="L558" s="6"/>
      <c r="M558" s="6"/>
      <c r="N558" s="6"/>
      <c r="O558" s="6"/>
      <c r="P558" s="6"/>
    </row>
    <row r="559" spans="8:16" ht="14.25" customHeight="1" x14ac:dyDescent="0.15">
      <c r="H559" s="6"/>
      <c r="I559" s="6"/>
      <c r="J559" s="6"/>
      <c r="K559" s="6"/>
      <c r="L559" s="6"/>
      <c r="M559" s="6"/>
      <c r="N559" s="6"/>
      <c r="O559" s="6"/>
      <c r="P559" s="6"/>
    </row>
    <row r="560" spans="8:16" ht="14.25" customHeight="1" x14ac:dyDescent="0.15">
      <c r="H560" s="6"/>
      <c r="I560" s="6"/>
      <c r="J560" s="6"/>
      <c r="K560" s="6"/>
      <c r="L560" s="6"/>
      <c r="M560" s="6"/>
      <c r="N560" s="6"/>
      <c r="O560" s="6"/>
      <c r="P560" s="6"/>
    </row>
    <row r="561" spans="8:16" ht="14.25" customHeight="1" x14ac:dyDescent="0.15">
      <c r="H561" s="6"/>
      <c r="I561" s="6"/>
      <c r="J561" s="6"/>
      <c r="K561" s="6"/>
      <c r="L561" s="6"/>
      <c r="M561" s="6"/>
      <c r="N561" s="6"/>
      <c r="O561" s="6"/>
      <c r="P561" s="6"/>
    </row>
    <row r="562" spans="8:16" ht="14.25" customHeight="1" x14ac:dyDescent="0.15">
      <c r="H562" s="6"/>
      <c r="I562" s="6"/>
      <c r="J562" s="6"/>
      <c r="K562" s="6"/>
      <c r="L562" s="6"/>
      <c r="M562" s="6"/>
      <c r="N562" s="6"/>
      <c r="O562" s="6"/>
      <c r="P562" s="6"/>
    </row>
    <row r="563" spans="8:16" ht="14.25" customHeight="1" x14ac:dyDescent="0.15">
      <c r="H563" s="6"/>
      <c r="I563" s="6"/>
      <c r="J563" s="6"/>
      <c r="K563" s="6"/>
      <c r="L563" s="6"/>
      <c r="M563" s="6"/>
      <c r="N563" s="6"/>
      <c r="O563" s="6"/>
      <c r="P563" s="6"/>
    </row>
    <row r="564" spans="8:16" ht="14.25" customHeight="1" x14ac:dyDescent="0.15">
      <c r="H564" s="6"/>
      <c r="I564" s="6"/>
      <c r="J564" s="6"/>
      <c r="K564" s="6"/>
      <c r="L564" s="6"/>
      <c r="M564" s="6"/>
      <c r="N564" s="6"/>
      <c r="O564" s="6"/>
      <c r="P564" s="6"/>
    </row>
    <row r="565" spans="8:16" ht="14.25" customHeight="1" x14ac:dyDescent="0.15">
      <c r="H565" s="6"/>
      <c r="I565" s="6"/>
      <c r="J565" s="6"/>
      <c r="K565" s="6"/>
      <c r="L565" s="6"/>
      <c r="M565" s="6"/>
      <c r="N565" s="6"/>
      <c r="O565" s="6"/>
      <c r="P565" s="6"/>
    </row>
    <row r="566" spans="8:16" ht="14.25" customHeight="1" x14ac:dyDescent="0.15">
      <c r="H566" s="6"/>
      <c r="I566" s="6"/>
      <c r="J566" s="6"/>
      <c r="K566" s="6"/>
      <c r="L566" s="6"/>
      <c r="M566" s="6"/>
      <c r="N566" s="6"/>
      <c r="O566" s="6"/>
      <c r="P566" s="6"/>
    </row>
    <row r="567" spans="8:16" ht="14.25" customHeight="1" x14ac:dyDescent="0.15">
      <c r="H567" s="6"/>
      <c r="I567" s="6"/>
      <c r="J567" s="6"/>
      <c r="K567" s="6"/>
      <c r="L567" s="6"/>
      <c r="M567" s="6"/>
      <c r="N567" s="6"/>
      <c r="O567" s="6"/>
      <c r="P567" s="6"/>
    </row>
    <row r="568" spans="8:16" ht="14.25" customHeight="1" x14ac:dyDescent="0.15">
      <c r="H568" s="6"/>
      <c r="I568" s="6"/>
      <c r="J568" s="6"/>
      <c r="K568" s="6"/>
      <c r="L568" s="6"/>
      <c r="M568" s="6"/>
      <c r="N568" s="6"/>
      <c r="O568" s="6"/>
      <c r="P568" s="6"/>
    </row>
    <row r="569" spans="8:16" ht="14.25" customHeight="1" x14ac:dyDescent="0.15">
      <c r="H569" s="6"/>
      <c r="I569" s="6"/>
      <c r="J569" s="6"/>
      <c r="K569" s="6"/>
      <c r="L569" s="6"/>
      <c r="M569" s="6"/>
      <c r="N569" s="6"/>
      <c r="O569" s="6"/>
      <c r="P569" s="6"/>
    </row>
    <row r="570" spans="8:16" ht="14.25" customHeight="1" x14ac:dyDescent="0.15">
      <c r="H570" s="6"/>
      <c r="I570" s="6"/>
      <c r="J570" s="6"/>
      <c r="K570" s="6"/>
      <c r="L570" s="6"/>
      <c r="M570" s="6"/>
      <c r="N570" s="6"/>
      <c r="O570" s="6"/>
      <c r="P570" s="6"/>
    </row>
    <row r="571" spans="8:16" ht="14.25" customHeight="1" x14ac:dyDescent="0.15">
      <c r="H571" s="6"/>
      <c r="I571" s="6"/>
      <c r="J571" s="6"/>
      <c r="K571" s="6"/>
      <c r="L571" s="6"/>
      <c r="M571" s="6"/>
      <c r="N571" s="6"/>
      <c r="O571" s="6"/>
      <c r="P571" s="6"/>
    </row>
    <row r="572" spans="8:16" ht="14.25" customHeight="1" x14ac:dyDescent="0.15">
      <c r="H572" s="6"/>
      <c r="I572" s="6"/>
      <c r="J572" s="6"/>
      <c r="K572" s="6"/>
      <c r="L572" s="6"/>
      <c r="M572" s="6"/>
      <c r="N572" s="6"/>
      <c r="O572" s="6"/>
      <c r="P572" s="6"/>
    </row>
    <row r="573" spans="8:16" ht="14.25" customHeight="1" x14ac:dyDescent="0.15">
      <c r="H573" s="6"/>
      <c r="I573" s="6"/>
      <c r="J573" s="6"/>
      <c r="K573" s="6"/>
      <c r="L573" s="6"/>
      <c r="M573" s="6"/>
      <c r="N573" s="6"/>
      <c r="O573" s="6"/>
      <c r="P573" s="6"/>
    </row>
    <row r="574" spans="8:16" ht="14.25" customHeight="1" x14ac:dyDescent="0.15">
      <c r="H574" s="6"/>
      <c r="I574" s="6"/>
      <c r="J574" s="6"/>
      <c r="K574" s="6"/>
      <c r="L574" s="6"/>
      <c r="M574" s="6"/>
      <c r="N574" s="6"/>
      <c r="O574" s="6"/>
      <c r="P574" s="6"/>
    </row>
    <row r="575" spans="8:16" ht="14.25" customHeight="1" x14ac:dyDescent="0.15">
      <c r="H575" s="6"/>
      <c r="I575" s="6"/>
      <c r="J575" s="6"/>
      <c r="K575" s="6"/>
      <c r="L575" s="6"/>
      <c r="M575" s="6"/>
      <c r="N575" s="6"/>
      <c r="O575" s="6"/>
      <c r="P575" s="6"/>
    </row>
    <row r="576" spans="8:16" ht="14.25" customHeight="1" x14ac:dyDescent="0.15">
      <c r="H576" s="6"/>
      <c r="I576" s="6"/>
      <c r="J576" s="6"/>
      <c r="K576" s="6"/>
      <c r="L576" s="6"/>
      <c r="M576" s="6"/>
      <c r="N576" s="6"/>
      <c r="O576" s="6"/>
      <c r="P576" s="6"/>
    </row>
    <row r="577" spans="8:16" ht="14.25" customHeight="1" x14ac:dyDescent="0.15">
      <c r="H577" s="6"/>
      <c r="I577" s="6"/>
      <c r="J577" s="6"/>
      <c r="K577" s="6"/>
      <c r="L577" s="6"/>
      <c r="M577" s="6"/>
      <c r="N577" s="6"/>
      <c r="O577" s="6"/>
      <c r="P577" s="6"/>
    </row>
    <row r="578" spans="8:16" ht="14.25" customHeight="1" x14ac:dyDescent="0.15">
      <c r="H578" s="6"/>
      <c r="I578" s="6"/>
      <c r="J578" s="6"/>
      <c r="K578" s="6"/>
      <c r="L578" s="6"/>
      <c r="M578" s="6"/>
      <c r="N578" s="6"/>
      <c r="O578" s="6"/>
      <c r="P578" s="6"/>
    </row>
    <row r="579" spans="8:16" ht="14.25" customHeight="1" x14ac:dyDescent="0.15">
      <c r="H579" s="6"/>
      <c r="I579" s="6"/>
      <c r="J579" s="6"/>
      <c r="K579" s="6"/>
      <c r="L579" s="6"/>
      <c r="M579" s="6"/>
      <c r="N579" s="6"/>
      <c r="O579" s="6"/>
      <c r="P579" s="6"/>
    </row>
    <row r="580" spans="8:16" ht="14.25" customHeight="1" x14ac:dyDescent="0.15">
      <c r="H580" s="6"/>
      <c r="I580" s="6"/>
      <c r="J580" s="6"/>
      <c r="K580" s="6"/>
      <c r="L580" s="6"/>
      <c r="M580" s="6"/>
      <c r="N580" s="6"/>
      <c r="O580" s="6"/>
      <c r="P580" s="6"/>
    </row>
    <row r="581" spans="8:16" ht="14.25" customHeight="1" x14ac:dyDescent="0.15">
      <c r="H581" s="6"/>
      <c r="I581" s="6"/>
      <c r="J581" s="6"/>
      <c r="K581" s="6"/>
      <c r="L581" s="6"/>
      <c r="M581" s="6"/>
      <c r="N581" s="6"/>
      <c r="O581" s="6"/>
      <c r="P581" s="6"/>
    </row>
    <row r="582" spans="8:16" ht="14.25" customHeight="1" x14ac:dyDescent="0.15">
      <c r="H582" s="6"/>
      <c r="I582" s="6"/>
      <c r="J582" s="6"/>
      <c r="K582" s="6"/>
      <c r="L582" s="6"/>
      <c r="M582" s="6"/>
      <c r="N582" s="6"/>
      <c r="O582" s="6"/>
      <c r="P582" s="6"/>
    </row>
    <row r="583" spans="8:16" ht="14.25" customHeight="1" x14ac:dyDescent="0.15">
      <c r="H583" s="6"/>
      <c r="I583" s="6"/>
      <c r="J583" s="6"/>
      <c r="K583" s="6"/>
      <c r="L583" s="6"/>
      <c r="M583" s="6"/>
      <c r="N583" s="6"/>
      <c r="O583" s="6"/>
      <c r="P583" s="6"/>
    </row>
    <row r="584" spans="8:16" ht="14.25" customHeight="1" x14ac:dyDescent="0.15">
      <c r="H584" s="6"/>
      <c r="I584" s="6"/>
      <c r="J584" s="6"/>
      <c r="K584" s="6"/>
      <c r="L584" s="6"/>
      <c r="M584" s="6"/>
      <c r="N584" s="6"/>
      <c r="O584" s="6"/>
      <c r="P584" s="6"/>
    </row>
    <row r="585" spans="8:16" ht="14.25" customHeight="1" x14ac:dyDescent="0.15">
      <c r="H585" s="6"/>
      <c r="I585" s="6"/>
      <c r="J585" s="6"/>
      <c r="K585" s="6"/>
      <c r="L585" s="6"/>
      <c r="M585" s="6"/>
      <c r="N585" s="6"/>
      <c r="O585" s="6"/>
      <c r="P585" s="6"/>
    </row>
    <row r="586" spans="8:16" ht="14.25" customHeight="1" x14ac:dyDescent="0.15">
      <c r="H586" s="6"/>
      <c r="I586" s="6"/>
      <c r="J586" s="6"/>
      <c r="K586" s="6"/>
      <c r="L586" s="6"/>
      <c r="M586" s="6"/>
      <c r="N586" s="6"/>
      <c r="O586" s="6"/>
      <c r="P586" s="6"/>
    </row>
    <row r="587" spans="8:16" ht="14.25" customHeight="1" x14ac:dyDescent="0.15">
      <c r="H587" s="6"/>
      <c r="I587" s="6"/>
      <c r="J587" s="6"/>
      <c r="K587" s="6"/>
      <c r="L587" s="6"/>
      <c r="M587" s="6"/>
      <c r="N587" s="6"/>
      <c r="O587" s="6"/>
      <c r="P587" s="6"/>
    </row>
    <row r="588" spans="8:16" ht="14.25" customHeight="1" x14ac:dyDescent="0.15">
      <c r="H588" s="6"/>
      <c r="I588" s="6"/>
      <c r="J588" s="6"/>
      <c r="K588" s="6"/>
      <c r="L588" s="6"/>
      <c r="M588" s="6"/>
      <c r="N588" s="6"/>
      <c r="O588" s="6"/>
      <c r="P588" s="6"/>
    </row>
    <row r="589" spans="8:16" ht="14.25" customHeight="1" x14ac:dyDescent="0.15">
      <c r="H589" s="6"/>
      <c r="I589" s="6"/>
      <c r="J589" s="6"/>
      <c r="K589" s="6"/>
      <c r="L589" s="6"/>
      <c r="M589" s="6"/>
      <c r="N589" s="6"/>
      <c r="O589" s="6"/>
      <c r="P589" s="6"/>
    </row>
    <row r="590" spans="8:16" ht="14.25" customHeight="1" x14ac:dyDescent="0.15">
      <c r="H590" s="6"/>
      <c r="I590" s="6"/>
      <c r="J590" s="6"/>
      <c r="K590" s="6"/>
      <c r="L590" s="6"/>
      <c r="M590" s="6"/>
      <c r="N590" s="6"/>
      <c r="O590" s="6"/>
      <c r="P590" s="6"/>
    </row>
    <row r="591" spans="8:16" ht="14.25" customHeight="1" x14ac:dyDescent="0.15">
      <c r="H591" s="6"/>
      <c r="I591" s="6"/>
      <c r="J591" s="6"/>
      <c r="K591" s="6"/>
      <c r="L591" s="6"/>
      <c r="M591" s="6"/>
      <c r="N591" s="6"/>
      <c r="O591" s="6"/>
      <c r="P591" s="6"/>
    </row>
    <row r="592" spans="8:16" ht="14.25" customHeight="1" x14ac:dyDescent="0.15">
      <c r="H592" s="6"/>
      <c r="I592" s="6"/>
      <c r="J592" s="6"/>
      <c r="K592" s="6"/>
      <c r="L592" s="6"/>
      <c r="M592" s="6"/>
      <c r="N592" s="6"/>
      <c r="O592" s="6"/>
      <c r="P592" s="6"/>
    </row>
    <row r="593" spans="8:16" ht="14.25" customHeight="1" x14ac:dyDescent="0.15">
      <c r="H593" s="6"/>
      <c r="I593" s="6"/>
      <c r="J593" s="6"/>
      <c r="K593" s="6"/>
      <c r="L593" s="6"/>
      <c r="M593" s="6"/>
      <c r="N593" s="6"/>
      <c r="O593" s="6"/>
      <c r="P593" s="6"/>
    </row>
    <row r="594" spans="8:16" ht="14.25" customHeight="1" x14ac:dyDescent="0.15">
      <c r="H594" s="6"/>
      <c r="I594" s="6"/>
      <c r="J594" s="6"/>
      <c r="K594" s="6"/>
      <c r="L594" s="6"/>
      <c r="M594" s="6"/>
      <c r="N594" s="6"/>
      <c r="O594" s="6"/>
      <c r="P594" s="6"/>
    </row>
    <row r="595" spans="8:16" ht="14.25" customHeight="1" x14ac:dyDescent="0.15">
      <c r="H595" s="6"/>
      <c r="I595" s="6"/>
      <c r="J595" s="6"/>
      <c r="K595" s="6"/>
      <c r="L595" s="6"/>
      <c r="M595" s="6"/>
      <c r="N595" s="6"/>
      <c r="O595" s="6"/>
      <c r="P595" s="6"/>
    </row>
    <row r="596" spans="8:16" ht="14.25" customHeight="1" x14ac:dyDescent="0.15">
      <c r="H596" s="6"/>
      <c r="I596" s="6"/>
      <c r="J596" s="6"/>
      <c r="K596" s="6"/>
      <c r="L596" s="6"/>
      <c r="M596" s="6"/>
      <c r="N596" s="6"/>
      <c r="O596" s="6"/>
      <c r="P596" s="6"/>
    </row>
    <row r="597" spans="8:16" ht="14.25" customHeight="1" x14ac:dyDescent="0.15">
      <c r="H597" s="6"/>
      <c r="I597" s="6"/>
      <c r="J597" s="6"/>
      <c r="K597" s="6"/>
      <c r="L597" s="6"/>
      <c r="M597" s="6"/>
      <c r="N597" s="6"/>
      <c r="O597" s="6"/>
      <c r="P597" s="6"/>
    </row>
    <row r="598" spans="8:16" ht="14.25" customHeight="1" x14ac:dyDescent="0.15">
      <c r="H598" s="6"/>
      <c r="I598" s="6"/>
      <c r="J598" s="6"/>
      <c r="K598" s="6"/>
      <c r="L598" s="6"/>
      <c r="M598" s="6"/>
      <c r="N598" s="6"/>
      <c r="O598" s="6"/>
      <c r="P598" s="6"/>
    </row>
    <row r="599" spans="8:16" ht="14.25" customHeight="1" x14ac:dyDescent="0.15">
      <c r="H599" s="6"/>
      <c r="I599" s="6"/>
      <c r="J599" s="6"/>
      <c r="K599" s="6"/>
      <c r="L599" s="6"/>
      <c r="M599" s="6"/>
      <c r="N599" s="6"/>
      <c r="O599" s="6"/>
      <c r="P599" s="6"/>
    </row>
    <row r="600" spans="8:16" ht="14.25" customHeight="1" x14ac:dyDescent="0.15">
      <c r="H600" s="6"/>
      <c r="I600" s="6"/>
      <c r="J600" s="6"/>
      <c r="K600" s="6"/>
      <c r="L600" s="6"/>
      <c r="M600" s="6"/>
      <c r="N600" s="6"/>
      <c r="O600" s="6"/>
      <c r="P600" s="6"/>
    </row>
    <row r="601" spans="8:16" ht="14.25" customHeight="1" x14ac:dyDescent="0.15">
      <c r="H601" s="6"/>
      <c r="I601" s="6"/>
      <c r="J601" s="6"/>
      <c r="K601" s="6"/>
      <c r="L601" s="6"/>
      <c r="M601" s="6"/>
      <c r="N601" s="6"/>
      <c r="O601" s="6"/>
      <c r="P601" s="6"/>
    </row>
    <row r="602" spans="8:16" ht="14.25" customHeight="1" x14ac:dyDescent="0.15">
      <c r="H602" s="6"/>
      <c r="I602" s="6"/>
      <c r="J602" s="6"/>
      <c r="K602" s="6"/>
      <c r="L602" s="6"/>
      <c r="M602" s="6"/>
      <c r="N602" s="6"/>
      <c r="O602" s="6"/>
      <c r="P602" s="6"/>
    </row>
    <row r="603" spans="8:16" ht="14.25" customHeight="1" x14ac:dyDescent="0.15">
      <c r="H603" s="6"/>
      <c r="I603" s="6"/>
      <c r="J603" s="6"/>
      <c r="K603" s="6"/>
      <c r="L603" s="6"/>
      <c r="M603" s="6"/>
      <c r="N603" s="6"/>
      <c r="O603" s="6"/>
      <c r="P603" s="6"/>
    </row>
    <row r="604" spans="8:16" ht="14.25" customHeight="1" x14ac:dyDescent="0.15">
      <c r="H604" s="6"/>
      <c r="I604" s="6"/>
      <c r="J604" s="6"/>
      <c r="K604" s="6"/>
      <c r="L604" s="6"/>
      <c r="M604" s="6"/>
      <c r="N604" s="6"/>
      <c r="O604" s="6"/>
      <c r="P604" s="6"/>
    </row>
    <row r="605" spans="8:16" ht="14.25" customHeight="1" x14ac:dyDescent="0.15">
      <c r="H605" s="6"/>
      <c r="I605" s="6"/>
      <c r="J605" s="6"/>
      <c r="K605" s="6"/>
      <c r="L605" s="6"/>
      <c r="M605" s="6"/>
      <c r="N605" s="6"/>
      <c r="O605" s="6"/>
      <c r="P605" s="6"/>
    </row>
    <row r="606" spans="8:16" ht="14.25" customHeight="1" x14ac:dyDescent="0.15">
      <c r="H606" s="6"/>
      <c r="I606" s="6"/>
      <c r="J606" s="6"/>
      <c r="K606" s="6"/>
      <c r="L606" s="6"/>
      <c r="M606" s="6"/>
      <c r="N606" s="6"/>
      <c r="O606" s="6"/>
      <c r="P606" s="6"/>
    </row>
    <row r="607" spans="8:16" ht="14.25" customHeight="1" x14ac:dyDescent="0.15">
      <c r="H607" s="6"/>
      <c r="I607" s="6"/>
      <c r="J607" s="6"/>
      <c r="K607" s="6"/>
      <c r="L607" s="6"/>
      <c r="M607" s="6"/>
      <c r="N607" s="6"/>
      <c r="O607" s="6"/>
      <c r="P607" s="6"/>
    </row>
    <row r="608" spans="8:16" ht="14.25" customHeight="1" x14ac:dyDescent="0.15">
      <c r="H608" s="6"/>
      <c r="I608" s="6"/>
      <c r="J608" s="6"/>
      <c r="K608" s="6"/>
      <c r="L608" s="6"/>
      <c r="M608" s="6"/>
      <c r="N608" s="6"/>
      <c r="O608" s="6"/>
      <c r="P608" s="6"/>
    </row>
    <row r="609" spans="8:16" ht="14.25" customHeight="1" x14ac:dyDescent="0.15">
      <c r="H609" s="6"/>
      <c r="I609" s="6"/>
      <c r="J609" s="6"/>
      <c r="K609" s="6"/>
      <c r="L609" s="6"/>
      <c r="M609" s="6"/>
      <c r="N609" s="6"/>
      <c r="O609" s="6"/>
      <c r="P609" s="6"/>
    </row>
    <row r="610" spans="8:16" ht="14.25" customHeight="1" x14ac:dyDescent="0.15">
      <c r="H610" s="6"/>
      <c r="I610" s="6"/>
      <c r="J610" s="6"/>
      <c r="K610" s="6"/>
      <c r="L610" s="6"/>
      <c r="M610" s="6"/>
      <c r="N610" s="6"/>
      <c r="O610" s="6"/>
      <c r="P610" s="6"/>
    </row>
    <row r="611" spans="8:16" ht="14.25" customHeight="1" x14ac:dyDescent="0.15">
      <c r="H611" s="6"/>
      <c r="I611" s="6"/>
      <c r="J611" s="6"/>
      <c r="K611" s="6"/>
      <c r="L611" s="6"/>
      <c r="M611" s="6"/>
      <c r="N611" s="6"/>
      <c r="O611" s="6"/>
      <c r="P611" s="6"/>
    </row>
    <row r="612" spans="8:16" ht="14.25" customHeight="1" x14ac:dyDescent="0.15">
      <c r="H612" s="6"/>
      <c r="I612" s="6"/>
      <c r="J612" s="6"/>
      <c r="K612" s="6"/>
      <c r="L612" s="6"/>
      <c r="M612" s="6"/>
      <c r="N612" s="6"/>
      <c r="O612" s="6"/>
      <c r="P612" s="6"/>
    </row>
    <row r="613" spans="8:16" ht="14.25" customHeight="1" x14ac:dyDescent="0.15">
      <c r="H613" s="6"/>
      <c r="I613" s="6"/>
      <c r="J613" s="6"/>
      <c r="K613" s="6"/>
      <c r="L613" s="6"/>
      <c r="M613" s="6"/>
      <c r="N613" s="6"/>
      <c r="O613" s="6"/>
      <c r="P613" s="6"/>
    </row>
    <row r="614" spans="8:16" ht="14.25" customHeight="1" x14ac:dyDescent="0.15">
      <c r="H614" s="6"/>
      <c r="I614" s="6"/>
      <c r="J614" s="6"/>
      <c r="K614" s="6"/>
      <c r="L614" s="6"/>
      <c r="M614" s="6"/>
      <c r="N614" s="6"/>
      <c r="O614" s="6"/>
      <c r="P614" s="6"/>
    </row>
    <row r="615" spans="8:16" ht="14.25" customHeight="1" x14ac:dyDescent="0.15">
      <c r="H615" s="6"/>
      <c r="I615" s="6"/>
      <c r="J615" s="6"/>
      <c r="K615" s="6"/>
      <c r="L615" s="6"/>
      <c r="M615" s="6"/>
      <c r="N615" s="6"/>
      <c r="O615" s="6"/>
      <c r="P615" s="6"/>
    </row>
    <row r="616" spans="8:16" ht="14.25" customHeight="1" x14ac:dyDescent="0.15">
      <c r="H616" s="6"/>
      <c r="I616" s="6"/>
      <c r="J616" s="6"/>
      <c r="K616" s="6"/>
      <c r="L616" s="6"/>
      <c r="M616" s="6"/>
      <c r="N616" s="6"/>
      <c r="O616" s="6"/>
      <c r="P616" s="6"/>
    </row>
    <row r="617" spans="8:16" ht="14.25" customHeight="1" x14ac:dyDescent="0.15">
      <c r="H617" s="6"/>
      <c r="I617" s="6"/>
      <c r="J617" s="6"/>
      <c r="K617" s="6"/>
      <c r="L617" s="6"/>
      <c r="M617" s="6"/>
      <c r="N617" s="6"/>
      <c r="O617" s="6"/>
      <c r="P617" s="6"/>
    </row>
    <row r="618" spans="8:16" ht="14.25" customHeight="1" x14ac:dyDescent="0.15">
      <c r="H618" s="6"/>
      <c r="I618" s="6"/>
      <c r="J618" s="6"/>
      <c r="K618" s="6"/>
      <c r="L618" s="6"/>
      <c r="M618" s="6"/>
      <c r="N618" s="6"/>
      <c r="O618" s="6"/>
      <c r="P618" s="6"/>
    </row>
    <row r="619" spans="8:16" ht="14.25" customHeight="1" x14ac:dyDescent="0.15">
      <c r="H619" s="6"/>
      <c r="I619" s="6"/>
      <c r="J619" s="6"/>
      <c r="K619" s="6"/>
      <c r="L619" s="6"/>
      <c r="M619" s="6"/>
      <c r="N619" s="6"/>
      <c r="O619" s="6"/>
      <c r="P619" s="6"/>
    </row>
    <row r="620" spans="8:16" ht="14.25" customHeight="1" x14ac:dyDescent="0.15">
      <c r="H620" s="6"/>
      <c r="I620" s="6"/>
      <c r="J620" s="6"/>
      <c r="K620" s="6"/>
      <c r="L620" s="6"/>
      <c r="M620" s="6"/>
      <c r="N620" s="6"/>
      <c r="O620" s="6"/>
      <c r="P620" s="6"/>
    </row>
    <row r="621" spans="8:16" ht="14.25" customHeight="1" x14ac:dyDescent="0.15">
      <c r="H621" s="6"/>
      <c r="I621" s="6"/>
      <c r="J621" s="6"/>
      <c r="K621" s="6"/>
      <c r="L621" s="6"/>
      <c r="M621" s="6"/>
      <c r="N621" s="6"/>
      <c r="O621" s="6"/>
      <c r="P621" s="6"/>
    </row>
    <row r="622" spans="8:16" ht="14.25" customHeight="1" x14ac:dyDescent="0.15">
      <c r="H622" s="6"/>
      <c r="I622" s="6"/>
      <c r="J622" s="6"/>
      <c r="K622" s="6"/>
      <c r="L622" s="6"/>
      <c r="M622" s="6"/>
      <c r="N622" s="6"/>
      <c r="O622" s="6"/>
      <c r="P622" s="6"/>
    </row>
    <row r="623" spans="8:16" ht="14.25" customHeight="1" x14ac:dyDescent="0.15">
      <c r="H623" s="6"/>
      <c r="I623" s="6"/>
      <c r="J623" s="6"/>
      <c r="K623" s="6"/>
      <c r="L623" s="6"/>
      <c r="M623" s="6"/>
      <c r="N623" s="6"/>
      <c r="O623" s="6"/>
      <c r="P623" s="6"/>
    </row>
    <row r="624" spans="8:16" ht="14.25" customHeight="1" x14ac:dyDescent="0.15">
      <c r="H624" s="6"/>
      <c r="I624" s="6"/>
      <c r="J624" s="6"/>
      <c r="K624" s="6"/>
      <c r="L624" s="6"/>
      <c r="M624" s="6"/>
      <c r="N624" s="6"/>
      <c r="O624" s="6"/>
      <c r="P624" s="6"/>
    </row>
    <row r="625" spans="8:16" ht="14.25" customHeight="1" x14ac:dyDescent="0.15">
      <c r="H625" s="6"/>
      <c r="I625" s="6"/>
      <c r="J625" s="6"/>
      <c r="K625" s="6"/>
      <c r="L625" s="6"/>
      <c r="M625" s="6"/>
      <c r="N625" s="6"/>
      <c r="O625" s="6"/>
      <c r="P625" s="6"/>
    </row>
    <row r="626" spans="8:16" ht="14.25" customHeight="1" x14ac:dyDescent="0.15">
      <c r="H626" s="6"/>
      <c r="I626" s="6"/>
      <c r="J626" s="6"/>
      <c r="K626" s="6"/>
      <c r="L626" s="6"/>
      <c r="M626" s="6"/>
      <c r="N626" s="6"/>
      <c r="O626" s="6"/>
      <c r="P626" s="6"/>
    </row>
    <row r="627" spans="8:16" ht="14.25" customHeight="1" x14ac:dyDescent="0.15">
      <c r="H627" s="6"/>
      <c r="I627" s="6"/>
      <c r="J627" s="6"/>
      <c r="K627" s="6"/>
      <c r="L627" s="6"/>
      <c r="M627" s="6"/>
      <c r="N627" s="6"/>
      <c r="O627" s="6"/>
      <c r="P627" s="6"/>
    </row>
    <row r="628" spans="8:16" ht="14.25" customHeight="1" x14ac:dyDescent="0.15">
      <c r="H628" s="6"/>
      <c r="I628" s="6"/>
      <c r="J628" s="6"/>
      <c r="K628" s="6"/>
      <c r="L628" s="6"/>
      <c r="M628" s="6"/>
      <c r="N628" s="6"/>
      <c r="O628" s="6"/>
      <c r="P628" s="6"/>
    </row>
    <row r="629" spans="8:16" ht="14.25" customHeight="1" x14ac:dyDescent="0.15">
      <c r="H629" s="6"/>
      <c r="I629" s="6"/>
      <c r="J629" s="6"/>
      <c r="K629" s="6"/>
      <c r="L629" s="6"/>
      <c r="M629" s="6"/>
      <c r="N629" s="6"/>
      <c r="O629" s="6"/>
      <c r="P629" s="6"/>
    </row>
    <row r="630" spans="8:16" ht="14.25" customHeight="1" x14ac:dyDescent="0.15">
      <c r="H630" s="6"/>
      <c r="I630" s="6"/>
      <c r="J630" s="6"/>
      <c r="K630" s="6"/>
      <c r="L630" s="6"/>
      <c r="M630" s="6"/>
      <c r="N630" s="6"/>
      <c r="O630" s="6"/>
      <c r="P630" s="6"/>
    </row>
    <row r="631" spans="8:16" ht="14.25" customHeight="1" x14ac:dyDescent="0.15">
      <c r="H631" s="6"/>
      <c r="I631" s="6"/>
      <c r="J631" s="6"/>
      <c r="K631" s="6"/>
      <c r="L631" s="6"/>
      <c r="M631" s="6"/>
      <c r="N631" s="6"/>
      <c r="O631" s="6"/>
      <c r="P631" s="6"/>
    </row>
    <row r="632" spans="8:16" ht="14.25" customHeight="1" x14ac:dyDescent="0.15">
      <c r="H632" s="6"/>
      <c r="I632" s="6"/>
      <c r="J632" s="6"/>
      <c r="K632" s="6"/>
      <c r="L632" s="6"/>
      <c r="M632" s="6"/>
      <c r="N632" s="6"/>
      <c r="O632" s="6"/>
      <c r="P632" s="6"/>
    </row>
    <row r="633" spans="8:16" ht="14.25" customHeight="1" x14ac:dyDescent="0.15">
      <c r="H633" s="6"/>
      <c r="I633" s="6"/>
      <c r="J633" s="6"/>
      <c r="K633" s="6"/>
      <c r="L633" s="6"/>
      <c r="M633" s="6"/>
      <c r="N633" s="6"/>
      <c r="O633" s="6"/>
      <c r="P633" s="6"/>
    </row>
    <row r="634" spans="8:16" ht="14.25" customHeight="1" x14ac:dyDescent="0.15">
      <c r="H634" s="6"/>
      <c r="I634" s="6"/>
      <c r="J634" s="6"/>
      <c r="K634" s="6"/>
      <c r="L634" s="6"/>
      <c r="M634" s="6"/>
      <c r="N634" s="6"/>
      <c r="O634" s="6"/>
      <c r="P634" s="6"/>
    </row>
    <row r="635" spans="8:16" ht="14.25" customHeight="1" x14ac:dyDescent="0.15">
      <c r="H635" s="6"/>
      <c r="I635" s="6"/>
      <c r="J635" s="6"/>
      <c r="K635" s="6"/>
      <c r="L635" s="6"/>
      <c r="M635" s="6"/>
      <c r="N635" s="6"/>
      <c r="O635" s="6"/>
      <c r="P635" s="6"/>
    </row>
    <row r="636" spans="8:16" ht="14.25" customHeight="1" x14ac:dyDescent="0.15">
      <c r="H636" s="6"/>
      <c r="I636" s="6"/>
      <c r="J636" s="6"/>
      <c r="K636" s="6"/>
      <c r="L636" s="6"/>
      <c r="M636" s="6"/>
      <c r="N636" s="6"/>
      <c r="O636" s="6"/>
      <c r="P636" s="6"/>
    </row>
    <row r="637" spans="8:16" ht="14.25" customHeight="1" x14ac:dyDescent="0.15">
      <c r="H637" s="6"/>
      <c r="I637" s="6"/>
      <c r="J637" s="6"/>
      <c r="K637" s="6"/>
      <c r="L637" s="6"/>
      <c r="M637" s="6"/>
      <c r="N637" s="6"/>
      <c r="O637" s="6"/>
      <c r="P637" s="6"/>
    </row>
    <row r="638" spans="8:16" ht="14.25" customHeight="1" x14ac:dyDescent="0.15">
      <c r="H638" s="6"/>
      <c r="I638" s="6"/>
      <c r="J638" s="6"/>
      <c r="K638" s="6"/>
      <c r="L638" s="6"/>
      <c r="M638" s="6"/>
      <c r="N638" s="6"/>
      <c r="O638" s="6"/>
      <c r="P638" s="6"/>
    </row>
    <row r="639" spans="8:16" ht="14.25" customHeight="1" x14ac:dyDescent="0.15">
      <c r="H639" s="6"/>
      <c r="I639" s="6"/>
      <c r="J639" s="6"/>
      <c r="K639" s="6"/>
      <c r="L639" s="6"/>
      <c r="M639" s="6"/>
      <c r="N639" s="6"/>
      <c r="O639" s="6"/>
      <c r="P639" s="6"/>
    </row>
    <row r="640" spans="8:16" ht="14.25" customHeight="1" x14ac:dyDescent="0.15">
      <c r="H640" s="6"/>
      <c r="I640" s="6"/>
      <c r="J640" s="6"/>
      <c r="K640" s="6"/>
      <c r="L640" s="6"/>
      <c r="M640" s="6"/>
      <c r="N640" s="6"/>
      <c r="O640" s="6"/>
      <c r="P640" s="6"/>
    </row>
    <row r="641" spans="8:16" ht="14.25" customHeight="1" x14ac:dyDescent="0.15">
      <c r="H641" s="6"/>
      <c r="I641" s="6"/>
      <c r="J641" s="6"/>
      <c r="K641" s="6"/>
      <c r="L641" s="6"/>
      <c r="M641" s="6"/>
      <c r="N641" s="6"/>
      <c r="O641" s="6"/>
      <c r="P641" s="6"/>
    </row>
    <row r="642" spans="8:16" ht="14.25" customHeight="1" x14ac:dyDescent="0.15">
      <c r="H642" s="6"/>
      <c r="I642" s="6"/>
      <c r="J642" s="6"/>
      <c r="K642" s="6"/>
      <c r="L642" s="6"/>
      <c r="M642" s="6"/>
      <c r="N642" s="6"/>
      <c r="O642" s="6"/>
      <c r="P642" s="6"/>
    </row>
    <row r="643" spans="8:16" ht="14.25" customHeight="1" x14ac:dyDescent="0.15">
      <c r="H643" s="6"/>
      <c r="I643" s="6"/>
      <c r="J643" s="6"/>
      <c r="K643" s="6"/>
      <c r="L643" s="6"/>
      <c r="M643" s="6"/>
      <c r="N643" s="6"/>
      <c r="O643" s="6"/>
      <c r="P643" s="6"/>
    </row>
    <row r="644" spans="8:16" ht="14.25" customHeight="1" x14ac:dyDescent="0.15">
      <c r="H644" s="6"/>
      <c r="I644" s="6"/>
      <c r="J644" s="6"/>
      <c r="K644" s="6"/>
      <c r="L644" s="6"/>
      <c r="M644" s="6"/>
      <c r="N644" s="6"/>
      <c r="O644" s="6"/>
      <c r="P644" s="6"/>
    </row>
    <row r="645" spans="8:16" ht="14.25" customHeight="1" x14ac:dyDescent="0.15">
      <c r="H645" s="6"/>
      <c r="I645" s="6"/>
      <c r="J645" s="6"/>
      <c r="K645" s="6"/>
      <c r="L645" s="6"/>
      <c r="M645" s="6"/>
      <c r="N645" s="6"/>
      <c r="O645" s="6"/>
      <c r="P645" s="6"/>
    </row>
    <row r="646" spans="8:16" ht="14.25" customHeight="1" x14ac:dyDescent="0.15">
      <c r="H646" s="6"/>
      <c r="I646" s="6"/>
      <c r="J646" s="6"/>
      <c r="K646" s="6"/>
      <c r="L646" s="6"/>
      <c r="M646" s="6"/>
      <c r="N646" s="6"/>
      <c r="O646" s="6"/>
      <c r="P646" s="6"/>
    </row>
    <row r="647" spans="8:16" ht="14.25" customHeight="1" x14ac:dyDescent="0.15">
      <c r="H647" s="6"/>
      <c r="I647" s="6"/>
      <c r="J647" s="6"/>
      <c r="K647" s="6"/>
      <c r="L647" s="6"/>
      <c r="M647" s="6"/>
      <c r="N647" s="6"/>
      <c r="O647" s="6"/>
      <c r="P647" s="6"/>
    </row>
    <row r="648" spans="8:16" ht="14.25" customHeight="1" x14ac:dyDescent="0.15">
      <c r="H648" s="6"/>
      <c r="I648" s="6"/>
      <c r="J648" s="6"/>
      <c r="K648" s="6"/>
      <c r="L648" s="6"/>
      <c r="M648" s="6"/>
      <c r="N648" s="6"/>
      <c r="O648" s="6"/>
      <c r="P648" s="6"/>
    </row>
    <row r="649" spans="8:16" ht="14.25" customHeight="1" x14ac:dyDescent="0.15">
      <c r="H649" s="6"/>
      <c r="I649" s="6"/>
      <c r="J649" s="6"/>
      <c r="K649" s="6"/>
      <c r="L649" s="6"/>
      <c r="M649" s="6"/>
      <c r="N649" s="6"/>
      <c r="O649" s="6"/>
      <c r="P649" s="6"/>
    </row>
    <row r="650" spans="8:16" ht="14.25" customHeight="1" x14ac:dyDescent="0.15">
      <c r="H650" s="6"/>
      <c r="I650" s="6"/>
      <c r="J650" s="6"/>
      <c r="K650" s="6"/>
      <c r="L650" s="6"/>
      <c r="M650" s="6"/>
      <c r="N650" s="6"/>
      <c r="O650" s="6"/>
      <c r="P650" s="6"/>
    </row>
    <row r="651" spans="8:16" ht="14.25" customHeight="1" x14ac:dyDescent="0.15">
      <c r="H651" s="6"/>
      <c r="I651" s="6"/>
      <c r="J651" s="6"/>
      <c r="K651" s="6"/>
      <c r="L651" s="6"/>
      <c r="M651" s="6"/>
      <c r="N651" s="6"/>
      <c r="O651" s="6"/>
      <c r="P651" s="6"/>
    </row>
    <row r="652" spans="8:16" ht="14.25" customHeight="1" x14ac:dyDescent="0.15">
      <c r="H652" s="6"/>
      <c r="I652" s="6"/>
      <c r="J652" s="6"/>
      <c r="K652" s="6"/>
      <c r="L652" s="6"/>
      <c r="M652" s="6"/>
      <c r="N652" s="6"/>
      <c r="O652" s="6"/>
      <c r="P652" s="6"/>
    </row>
    <row r="653" spans="8:16" ht="14.25" customHeight="1" x14ac:dyDescent="0.15">
      <c r="H653" s="6"/>
      <c r="I653" s="6"/>
      <c r="J653" s="6"/>
      <c r="K653" s="6"/>
      <c r="L653" s="6"/>
      <c r="M653" s="6"/>
      <c r="N653" s="6"/>
      <c r="O653" s="6"/>
      <c r="P653" s="6"/>
    </row>
    <row r="654" spans="8:16" ht="14.25" customHeight="1" x14ac:dyDescent="0.15">
      <c r="H654" s="6"/>
      <c r="I654" s="6"/>
      <c r="J654" s="6"/>
      <c r="K654" s="6"/>
      <c r="L654" s="6"/>
      <c r="M654" s="6"/>
      <c r="N654" s="6"/>
      <c r="O654" s="6"/>
      <c r="P654" s="6"/>
    </row>
    <row r="655" spans="8:16" ht="14.25" customHeight="1" x14ac:dyDescent="0.15">
      <c r="H655" s="6"/>
      <c r="I655" s="6"/>
      <c r="J655" s="6"/>
      <c r="K655" s="6"/>
      <c r="L655" s="6"/>
      <c r="M655" s="6"/>
      <c r="N655" s="6"/>
      <c r="O655" s="6"/>
      <c r="P655" s="6"/>
    </row>
    <row r="656" spans="8:16" ht="14.25" customHeight="1" x14ac:dyDescent="0.15">
      <c r="H656" s="6"/>
      <c r="I656" s="6"/>
      <c r="J656" s="6"/>
      <c r="K656" s="6"/>
      <c r="L656" s="6"/>
      <c r="M656" s="6"/>
      <c r="N656" s="6"/>
      <c r="O656" s="6"/>
      <c r="P656" s="6"/>
    </row>
    <row r="657" spans="8:16" ht="14.25" customHeight="1" x14ac:dyDescent="0.15">
      <c r="H657" s="6"/>
      <c r="I657" s="6"/>
      <c r="J657" s="6"/>
      <c r="K657" s="6"/>
      <c r="L657" s="6"/>
      <c r="M657" s="6"/>
      <c r="N657" s="6"/>
      <c r="O657" s="6"/>
      <c r="P657" s="6"/>
    </row>
    <row r="658" spans="8:16" ht="14.25" customHeight="1" x14ac:dyDescent="0.15">
      <c r="H658" s="6"/>
      <c r="I658" s="6"/>
      <c r="J658" s="6"/>
      <c r="K658" s="6"/>
      <c r="L658" s="6"/>
      <c r="M658" s="6"/>
      <c r="N658" s="6"/>
      <c r="O658" s="6"/>
      <c r="P658" s="6"/>
    </row>
    <row r="659" spans="8:16" ht="14.25" customHeight="1" x14ac:dyDescent="0.15">
      <c r="H659" s="6"/>
      <c r="I659" s="6"/>
      <c r="J659" s="6"/>
      <c r="K659" s="6"/>
      <c r="L659" s="6"/>
      <c r="M659" s="6"/>
      <c r="N659" s="6"/>
      <c r="O659" s="6"/>
      <c r="P659" s="6"/>
    </row>
    <row r="660" spans="8:16" ht="14.25" customHeight="1" x14ac:dyDescent="0.15">
      <c r="H660" s="6"/>
      <c r="I660" s="6"/>
      <c r="J660" s="6"/>
      <c r="K660" s="6"/>
      <c r="L660" s="6"/>
      <c r="M660" s="6"/>
      <c r="N660" s="6"/>
      <c r="O660" s="6"/>
      <c r="P660" s="6"/>
    </row>
    <row r="661" spans="8:16" ht="14.25" customHeight="1" x14ac:dyDescent="0.15">
      <c r="H661" s="6"/>
      <c r="I661" s="6"/>
      <c r="J661" s="6"/>
      <c r="K661" s="6"/>
      <c r="L661" s="6"/>
      <c r="M661" s="6"/>
      <c r="N661" s="6"/>
      <c r="O661" s="6"/>
      <c r="P661" s="6"/>
    </row>
    <row r="662" spans="8:16" ht="14.25" customHeight="1" x14ac:dyDescent="0.15">
      <c r="H662" s="6"/>
      <c r="I662" s="6"/>
      <c r="J662" s="6"/>
      <c r="K662" s="6"/>
      <c r="L662" s="6"/>
      <c r="M662" s="6"/>
      <c r="N662" s="6"/>
      <c r="O662" s="6"/>
      <c r="P662" s="6"/>
    </row>
    <row r="663" spans="8:16" ht="14.25" customHeight="1" x14ac:dyDescent="0.15">
      <c r="H663" s="6"/>
      <c r="I663" s="6"/>
      <c r="J663" s="6"/>
      <c r="K663" s="6"/>
      <c r="L663" s="6"/>
      <c r="M663" s="6"/>
      <c r="N663" s="6"/>
      <c r="O663" s="6"/>
      <c r="P663" s="6"/>
    </row>
    <row r="664" spans="8:16" ht="14.25" customHeight="1" x14ac:dyDescent="0.15">
      <c r="H664" s="6"/>
      <c r="I664" s="6"/>
      <c r="J664" s="6"/>
      <c r="K664" s="6"/>
      <c r="L664" s="6"/>
      <c r="M664" s="6"/>
      <c r="N664" s="6"/>
      <c r="O664" s="6"/>
      <c r="P664" s="6"/>
    </row>
    <row r="665" spans="8:16" ht="14.25" customHeight="1" x14ac:dyDescent="0.15">
      <c r="H665" s="6"/>
      <c r="I665" s="6"/>
      <c r="J665" s="6"/>
      <c r="K665" s="6"/>
      <c r="L665" s="6"/>
      <c r="M665" s="6"/>
      <c r="N665" s="6"/>
      <c r="O665" s="6"/>
      <c r="P665" s="6"/>
    </row>
    <row r="666" spans="8:16" ht="14.25" customHeight="1" x14ac:dyDescent="0.15">
      <c r="H666" s="6"/>
      <c r="I666" s="6"/>
      <c r="J666" s="6"/>
      <c r="K666" s="6"/>
      <c r="L666" s="6"/>
      <c r="M666" s="6"/>
      <c r="N666" s="6"/>
      <c r="O666" s="6"/>
      <c r="P666" s="6"/>
    </row>
    <row r="667" spans="8:16" ht="14.25" customHeight="1" x14ac:dyDescent="0.15">
      <c r="H667" s="6"/>
      <c r="I667" s="6"/>
      <c r="J667" s="6"/>
      <c r="K667" s="6"/>
      <c r="L667" s="6"/>
      <c r="M667" s="6"/>
      <c r="N667" s="6"/>
      <c r="O667" s="6"/>
      <c r="P667" s="6"/>
    </row>
    <row r="668" spans="8:16" ht="14.25" customHeight="1" x14ac:dyDescent="0.15">
      <c r="H668" s="6"/>
      <c r="I668" s="6"/>
      <c r="J668" s="6"/>
      <c r="K668" s="6"/>
      <c r="L668" s="6"/>
      <c r="M668" s="6"/>
      <c r="N668" s="6"/>
      <c r="O668" s="6"/>
      <c r="P668" s="6"/>
    </row>
    <row r="669" spans="8:16" ht="14.25" customHeight="1" x14ac:dyDescent="0.15">
      <c r="H669" s="6"/>
      <c r="I669" s="6"/>
      <c r="J669" s="6"/>
      <c r="K669" s="6"/>
      <c r="L669" s="6"/>
      <c r="M669" s="6"/>
      <c r="N669" s="6"/>
      <c r="O669" s="6"/>
      <c r="P669" s="6"/>
    </row>
    <row r="670" spans="8:16" ht="14.25" customHeight="1" x14ac:dyDescent="0.15">
      <c r="H670" s="6"/>
      <c r="I670" s="6"/>
      <c r="J670" s="6"/>
      <c r="K670" s="6"/>
      <c r="L670" s="6"/>
      <c r="M670" s="6"/>
      <c r="N670" s="6"/>
      <c r="O670" s="6"/>
      <c r="P670" s="6"/>
    </row>
    <row r="671" spans="8:16" ht="14.25" customHeight="1" x14ac:dyDescent="0.15">
      <c r="H671" s="6"/>
      <c r="I671" s="6"/>
      <c r="J671" s="6"/>
      <c r="K671" s="6"/>
      <c r="L671" s="6"/>
      <c r="M671" s="6"/>
      <c r="N671" s="6"/>
      <c r="O671" s="6"/>
      <c r="P671" s="6"/>
    </row>
    <row r="672" spans="8:16" ht="14.25" customHeight="1" x14ac:dyDescent="0.15">
      <c r="H672" s="6"/>
      <c r="I672" s="6"/>
      <c r="J672" s="6"/>
      <c r="K672" s="6"/>
      <c r="L672" s="6"/>
      <c r="M672" s="6"/>
      <c r="N672" s="6"/>
      <c r="O672" s="6"/>
      <c r="P672" s="6"/>
    </row>
    <row r="673" spans="8:16" ht="14.25" customHeight="1" x14ac:dyDescent="0.15">
      <c r="H673" s="6"/>
      <c r="I673" s="6"/>
      <c r="J673" s="6"/>
      <c r="K673" s="6"/>
      <c r="L673" s="6"/>
      <c r="M673" s="6"/>
      <c r="N673" s="6"/>
      <c r="O673" s="6"/>
      <c r="P673" s="6"/>
    </row>
    <row r="674" spans="8:16" ht="14.25" customHeight="1" x14ac:dyDescent="0.15">
      <c r="H674" s="6"/>
      <c r="I674" s="6"/>
      <c r="J674" s="6"/>
      <c r="K674" s="6"/>
      <c r="L674" s="6"/>
      <c r="M674" s="6"/>
      <c r="N674" s="6"/>
      <c r="O674" s="6"/>
      <c r="P674" s="6"/>
    </row>
    <row r="675" spans="8:16" ht="14.25" customHeight="1" x14ac:dyDescent="0.15">
      <c r="H675" s="6"/>
      <c r="I675" s="6"/>
      <c r="J675" s="6"/>
      <c r="K675" s="6"/>
      <c r="L675" s="6"/>
      <c r="M675" s="6"/>
      <c r="N675" s="6"/>
      <c r="O675" s="6"/>
      <c r="P675" s="6"/>
    </row>
    <row r="676" spans="8:16" ht="14.25" customHeight="1" x14ac:dyDescent="0.15">
      <c r="H676" s="6"/>
      <c r="I676" s="6"/>
      <c r="J676" s="6"/>
      <c r="K676" s="6"/>
      <c r="L676" s="6"/>
      <c r="M676" s="6"/>
      <c r="N676" s="6"/>
      <c r="O676" s="6"/>
      <c r="P676" s="6"/>
    </row>
    <row r="677" spans="8:16" ht="14.25" customHeight="1" x14ac:dyDescent="0.15">
      <c r="H677" s="6"/>
      <c r="I677" s="6"/>
      <c r="J677" s="6"/>
      <c r="K677" s="6"/>
      <c r="L677" s="6"/>
      <c r="M677" s="6"/>
      <c r="N677" s="6"/>
      <c r="O677" s="6"/>
      <c r="P677" s="6"/>
    </row>
    <row r="678" spans="8:16" ht="14.25" customHeight="1" x14ac:dyDescent="0.15">
      <c r="H678" s="6"/>
      <c r="I678" s="6"/>
      <c r="J678" s="6"/>
      <c r="K678" s="6"/>
      <c r="L678" s="6"/>
      <c r="M678" s="6"/>
      <c r="N678" s="6"/>
      <c r="O678" s="6"/>
      <c r="P678" s="6"/>
    </row>
    <row r="679" spans="8:16" ht="14.25" customHeight="1" x14ac:dyDescent="0.15">
      <c r="H679" s="6"/>
      <c r="I679" s="6"/>
      <c r="J679" s="6"/>
      <c r="K679" s="6"/>
      <c r="L679" s="6"/>
      <c r="M679" s="6"/>
      <c r="N679" s="6"/>
      <c r="O679" s="6"/>
      <c r="P679" s="6"/>
    </row>
    <row r="680" spans="8:16" ht="14.25" customHeight="1" x14ac:dyDescent="0.15">
      <c r="H680" s="6"/>
      <c r="I680" s="6"/>
      <c r="J680" s="6"/>
      <c r="K680" s="6"/>
      <c r="L680" s="6"/>
      <c r="M680" s="6"/>
      <c r="N680" s="6"/>
      <c r="O680" s="6"/>
      <c r="P680" s="6"/>
    </row>
    <row r="681" spans="8:16" ht="14.25" customHeight="1" x14ac:dyDescent="0.15">
      <c r="H681" s="6"/>
      <c r="I681" s="6"/>
      <c r="J681" s="6"/>
      <c r="K681" s="6"/>
      <c r="L681" s="6"/>
      <c r="M681" s="6"/>
      <c r="N681" s="6"/>
      <c r="O681" s="6"/>
      <c r="P681" s="6"/>
    </row>
    <row r="682" spans="8:16" ht="14.25" customHeight="1" x14ac:dyDescent="0.15">
      <c r="H682" s="6"/>
      <c r="I682" s="6"/>
      <c r="J682" s="6"/>
      <c r="K682" s="6"/>
      <c r="L682" s="6"/>
      <c r="M682" s="6"/>
      <c r="N682" s="6"/>
      <c r="O682" s="6"/>
      <c r="P682" s="6"/>
    </row>
    <row r="683" spans="8:16" ht="14.25" customHeight="1" x14ac:dyDescent="0.15">
      <c r="H683" s="6"/>
      <c r="I683" s="6"/>
      <c r="J683" s="6"/>
      <c r="K683" s="6"/>
      <c r="L683" s="6"/>
      <c r="M683" s="6"/>
      <c r="N683" s="6"/>
      <c r="O683" s="6"/>
      <c r="P683" s="6"/>
    </row>
    <row r="684" spans="8:16" ht="14.25" customHeight="1" x14ac:dyDescent="0.15">
      <c r="H684" s="6"/>
      <c r="I684" s="6"/>
      <c r="J684" s="6"/>
      <c r="K684" s="6"/>
      <c r="L684" s="6"/>
      <c r="M684" s="6"/>
      <c r="N684" s="6"/>
      <c r="O684" s="6"/>
      <c r="P684" s="6"/>
    </row>
    <row r="685" spans="8:16" ht="14.25" customHeight="1" x14ac:dyDescent="0.15">
      <c r="H685" s="6"/>
      <c r="I685" s="6"/>
      <c r="J685" s="6"/>
      <c r="K685" s="6"/>
      <c r="L685" s="6"/>
      <c r="M685" s="6"/>
      <c r="N685" s="6"/>
      <c r="O685" s="6"/>
      <c r="P685" s="6"/>
    </row>
    <row r="686" spans="8:16" ht="14.25" customHeight="1" x14ac:dyDescent="0.15">
      <c r="H686" s="6"/>
      <c r="I686" s="6"/>
      <c r="J686" s="6"/>
      <c r="K686" s="6"/>
      <c r="L686" s="6"/>
      <c r="M686" s="6"/>
      <c r="N686" s="6"/>
      <c r="O686" s="6"/>
      <c r="P686" s="6"/>
    </row>
    <row r="687" spans="8:16" ht="14.25" customHeight="1" x14ac:dyDescent="0.15">
      <c r="H687" s="6"/>
      <c r="I687" s="6"/>
      <c r="J687" s="6"/>
      <c r="K687" s="6"/>
      <c r="L687" s="6"/>
      <c r="M687" s="6"/>
      <c r="N687" s="6"/>
      <c r="O687" s="6"/>
      <c r="P687" s="6"/>
    </row>
    <row r="688" spans="8:16" ht="14.25" customHeight="1" x14ac:dyDescent="0.15">
      <c r="H688" s="6"/>
      <c r="I688" s="6"/>
      <c r="J688" s="6"/>
      <c r="K688" s="6"/>
      <c r="L688" s="6"/>
      <c r="M688" s="6"/>
      <c r="N688" s="6"/>
      <c r="O688" s="6"/>
      <c r="P688" s="6"/>
    </row>
    <row r="689" spans="8:16" ht="14.25" customHeight="1" x14ac:dyDescent="0.15">
      <c r="H689" s="6"/>
      <c r="I689" s="6"/>
      <c r="J689" s="6"/>
      <c r="K689" s="6"/>
      <c r="L689" s="6"/>
      <c r="M689" s="6"/>
      <c r="N689" s="6"/>
      <c r="O689" s="6"/>
      <c r="P689" s="6"/>
    </row>
    <row r="690" spans="8:16" ht="14.25" customHeight="1" x14ac:dyDescent="0.15">
      <c r="H690" s="6"/>
      <c r="I690" s="6"/>
      <c r="J690" s="6"/>
      <c r="K690" s="6"/>
      <c r="L690" s="6"/>
      <c r="M690" s="6"/>
      <c r="N690" s="6"/>
      <c r="O690" s="6"/>
      <c r="P690" s="6"/>
    </row>
    <row r="691" spans="8:16" ht="14.25" customHeight="1" x14ac:dyDescent="0.15">
      <c r="H691" s="6"/>
      <c r="I691" s="6"/>
      <c r="J691" s="6"/>
      <c r="K691" s="6"/>
      <c r="L691" s="6"/>
      <c r="M691" s="6"/>
      <c r="N691" s="6"/>
      <c r="O691" s="6"/>
      <c r="P691" s="6"/>
    </row>
    <row r="692" spans="8:16" ht="14.25" customHeight="1" x14ac:dyDescent="0.15">
      <c r="H692" s="6"/>
      <c r="I692" s="6"/>
      <c r="J692" s="6"/>
      <c r="K692" s="6"/>
      <c r="L692" s="6"/>
      <c r="M692" s="6"/>
      <c r="N692" s="6"/>
      <c r="O692" s="6"/>
      <c r="P692" s="6"/>
    </row>
    <row r="693" spans="8:16" ht="14.25" customHeight="1" x14ac:dyDescent="0.15">
      <c r="H693" s="6"/>
      <c r="I693" s="6"/>
      <c r="J693" s="6"/>
      <c r="K693" s="6"/>
      <c r="L693" s="6"/>
      <c r="M693" s="6"/>
      <c r="N693" s="6"/>
      <c r="O693" s="6"/>
      <c r="P693" s="6"/>
    </row>
    <row r="694" spans="8:16" ht="14.25" customHeight="1" x14ac:dyDescent="0.15">
      <c r="H694" s="6"/>
      <c r="I694" s="6"/>
      <c r="J694" s="6"/>
      <c r="K694" s="6"/>
      <c r="L694" s="6"/>
      <c r="M694" s="6"/>
      <c r="N694" s="6"/>
      <c r="O694" s="6"/>
      <c r="P694" s="6"/>
    </row>
    <row r="695" spans="8:16" ht="14.25" customHeight="1" x14ac:dyDescent="0.15">
      <c r="H695" s="6"/>
      <c r="I695" s="6"/>
      <c r="J695" s="6"/>
      <c r="K695" s="6"/>
      <c r="L695" s="6"/>
      <c r="M695" s="6"/>
      <c r="N695" s="6"/>
      <c r="O695" s="6"/>
      <c r="P695" s="6"/>
    </row>
    <row r="696" spans="8:16" ht="14.25" customHeight="1" x14ac:dyDescent="0.15">
      <c r="H696" s="6"/>
      <c r="I696" s="6"/>
      <c r="J696" s="6"/>
      <c r="K696" s="6"/>
      <c r="L696" s="6"/>
      <c r="M696" s="6"/>
      <c r="N696" s="6"/>
      <c r="O696" s="6"/>
      <c r="P696" s="6"/>
    </row>
    <row r="697" spans="8:16" ht="14.25" customHeight="1" x14ac:dyDescent="0.15">
      <c r="H697" s="6"/>
      <c r="I697" s="6"/>
      <c r="J697" s="6"/>
      <c r="K697" s="6"/>
      <c r="L697" s="6"/>
      <c r="M697" s="6"/>
      <c r="N697" s="6"/>
      <c r="O697" s="6"/>
      <c r="P697" s="6"/>
    </row>
    <row r="698" spans="8:16" ht="14.25" customHeight="1" x14ac:dyDescent="0.15">
      <c r="H698" s="6"/>
      <c r="I698" s="6"/>
      <c r="J698" s="6"/>
      <c r="K698" s="6"/>
      <c r="L698" s="6"/>
      <c r="M698" s="6"/>
      <c r="N698" s="6"/>
      <c r="O698" s="6"/>
      <c r="P698" s="6"/>
    </row>
    <row r="699" spans="8:16" ht="14.25" customHeight="1" x14ac:dyDescent="0.15">
      <c r="H699" s="6"/>
      <c r="I699" s="6"/>
      <c r="J699" s="6"/>
      <c r="K699" s="6"/>
      <c r="L699" s="6"/>
      <c r="M699" s="6"/>
      <c r="N699" s="6"/>
      <c r="O699" s="6"/>
      <c r="P699" s="6"/>
    </row>
    <row r="700" spans="8:16" ht="14.25" customHeight="1" x14ac:dyDescent="0.15">
      <c r="H700" s="6"/>
      <c r="I700" s="6"/>
      <c r="J700" s="6"/>
      <c r="K700" s="6"/>
      <c r="L700" s="6"/>
      <c r="M700" s="6"/>
      <c r="N700" s="6"/>
      <c r="O700" s="6"/>
      <c r="P700" s="6"/>
    </row>
    <row r="701" spans="8:16" ht="14.25" customHeight="1" x14ac:dyDescent="0.15">
      <c r="H701" s="6"/>
      <c r="I701" s="6"/>
      <c r="J701" s="6"/>
      <c r="K701" s="6"/>
      <c r="L701" s="6"/>
      <c r="M701" s="6"/>
      <c r="N701" s="6"/>
      <c r="O701" s="6"/>
      <c r="P701" s="6"/>
    </row>
    <row r="702" spans="8:16" ht="14.25" customHeight="1" x14ac:dyDescent="0.15">
      <c r="H702" s="6"/>
      <c r="I702" s="6"/>
      <c r="J702" s="6"/>
      <c r="K702" s="6"/>
      <c r="L702" s="6"/>
      <c r="M702" s="6"/>
      <c r="N702" s="6"/>
      <c r="O702" s="6"/>
      <c r="P702" s="6"/>
    </row>
    <row r="703" spans="8:16" ht="14.25" customHeight="1" x14ac:dyDescent="0.15">
      <c r="H703" s="6"/>
      <c r="I703" s="6"/>
      <c r="J703" s="6"/>
      <c r="K703" s="6"/>
      <c r="L703" s="6"/>
      <c r="M703" s="6"/>
      <c r="N703" s="6"/>
      <c r="O703" s="6"/>
      <c r="P703" s="6"/>
    </row>
    <row r="704" spans="8:16" ht="14.25" customHeight="1" x14ac:dyDescent="0.15">
      <c r="H704" s="6"/>
      <c r="I704" s="6"/>
      <c r="J704" s="6"/>
      <c r="K704" s="6"/>
      <c r="L704" s="6"/>
      <c r="M704" s="6"/>
      <c r="N704" s="6"/>
      <c r="O704" s="6"/>
      <c r="P704" s="6"/>
    </row>
    <row r="705" spans="8:16" ht="14.25" customHeight="1" x14ac:dyDescent="0.15">
      <c r="H705" s="6"/>
      <c r="I705" s="6"/>
      <c r="J705" s="6"/>
      <c r="K705" s="6"/>
      <c r="L705" s="6"/>
      <c r="M705" s="6"/>
      <c r="N705" s="6"/>
      <c r="O705" s="6"/>
      <c r="P705" s="6"/>
    </row>
    <row r="706" spans="8:16" ht="14.25" customHeight="1" x14ac:dyDescent="0.15">
      <c r="H706" s="6"/>
      <c r="I706" s="6"/>
      <c r="J706" s="6"/>
      <c r="K706" s="6"/>
      <c r="L706" s="6"/>
      <c r="M706" s="6"/>
      <c r="N706" s="6"/>
      <c r="O706" s="6"/>
      <c r="P706" s="6"/>
    </row>
    <row r="707" spans="8:16" ht="14.25" customHeight="1" x14ac:dyDescent="0.15">
      <c r="H707" s="6"/>
      <c r="I707" s="6"/>
      <c r="J707" s="6"/>
      <c r="K707" s="6"/>
      <c r="L707" s="6"/>
      <c r="M707" s="6"/>
      <c r="N707" s="6"/>
      <c r="O707" s="6"/>
      <c r="P707" s="6"/>
    </row>
    <row r="708" spans="8:16" ht="14.25" customHeight="1" x14ac:dyDescent="0.15">
      <c r="H708" s="6"/>
      <c r="I708" s="6"/>
      <c r="J708" s="6"/>
      <c r="K708" s="6"/>
      <c r="L708" s="6"/>
      <c r="M708" s="6"/>
      <c r="N708" s="6"/>
      <c r="O708" s="6"/>
      <c r="P708" s="6"/>
    </row>
    <row r="709" spans="8:16" ht="14.25" customHeight="1" x14ac:dyDescent="0.15">
      <c r="H709" s="6"/>
      <c r="I709" s="6"/>
      <c r="J709" s="6"/>
      <c r="K709" s="6"/>
      <c r="L709" s="6"/>
      <c r="M709" s="6"/>
      <c r="N709" s="6"/>
      <c r="O709" s="6"/>
      <c r="P709" s="6"/>
    </row>
    <row r="710" spans="8:16" ht="14.25" customHeight="1" x14ac:dyDescent="0.15">
      <c r="H710" s="6"/>
      <c r="I710" s="6"/>
      <c r="J710" s="6"/>
      <c r="K710" s="6"/>
      <c r="L710" s="6"/>
      <c r="M710" s="6"/>
      <c r="N710" s="6"/>
      <c r="O710" s="6"/>
      <c r="P710" s="6"/>
    </row>
    <row r="711" spans="8:16" ht="14.25" customHeight="1" x14ac:dyDescent="0.15">
      <c r="H711" s="6"/>
      <c r="I711" s="6"/>
      <c r="J711" s="6"/>
      <c r="K711" s="6"/>
      <c r="L711" s="6"/>
      <c r="M711" s="6"/>
      <c r="N711" s="6"/>
      <c r="O711" s="6"/>
      <c r="P711" s="6"/>
    </row>
    <row r="712" spans="8:16" ht="14.25" customHeight="1" x14ac:dyDescent="0.15">
      <c r="H712" s="6"/>
      <c r="I712" s="6"/>
      <c r="J712" s="6"/>
      <c r="K712" s="6"/>
      <c r="L712" s="6"/>
      <c r="M712" s="6"/>
      <c r="N712" s="6"/>
      <c r="O712" s="6"/>
      <c r="P712" s="6"/>
    </row>
    <row r="713" spans="8:16" ht="14.25" customHeight="1" x14ac:dyDescent="0.15">
      <c r="H713" s="6"/>
      <c r="I713" s="6"/>
      <c r="J713" s="6"/>
      <c r="K713" s="6"/>
      <c r="L713" s="6"/>
      <c r="M713" s="6"/>
      <c r="N713" s="6"/>
      <c r="O713" s="6"/>
      <c r="P713" s="6"/>
    </row>
    <row r="714" spans="8:16" ht="14.25" customHeight="1" x14ac:dyDescent="0.15">
      <c r="H714" s="6"/>
      <c r="I714" s="6"/>
      <c r="J714" s="6"/>
      <c r="K714" s="6"/>
      <c r="L714" s="6"/>
      <c r="M714" s="6"/>
      <c r="N714" s="6"/>
      <c r="O714" s="6"/>
      <c r="P714" s="6"/>
    </row>
    <row r="715" spans="8:16" ht="14.25" customHeight="1" x14ac:dyDescent="0.15">
      <c r="H715" s="6"/>
      <c r="I715" s="6"/>
      <c r="J715" s="6"/>
      <c r="K715" s="6"/>
      <c r="L715" s="6"/>
      <c r="M715" s="6"/>
      <c r="N715" s="6"/>
      <c r="O715" s="6"/>
      <c r="P715" s="6"/>
    </row>
    <row r="716" spans="8:16" ht="14.25" customHeight="1" x14ac:dyDescent="0.15">
      <c r="H716" s="6"/>
      <c r="I716" s="6"/>
      <c r="J716" s="6"/>
      <c r="K716" s="6"/>
      <c r="L716" s="6"/>
      <c r="M716" s="6"/>
      <c r="N716" s="6"/>
      <c r="O716" s="6"/>
      <c r="P716" s="6"/>
    </row>
    <row r="717" spans="8:16" ht="14.25" customHeight="1" x14ac:dyDescent="0.15">
      <c r="H717" s="6"/>
      <c r="I717" s="6"/>
      <c r="J717" s="6"/>
      <c r="K717" s="6"/>
      <c r="L717" s="6"/>
      <c r="M717" s="6"/>
      <c r="N717" s="6"/>
      <c r="O717" s="6"/>
      <c r="P717" s="6"/>
    </row>
    <row r="718" spans="8:16" ht="14.25" customHeight="1" x14ac:dyDescent="0.15">
      <c r="H718" s="6"/>
      <c r="I718" s="6"/>
      <c r="J718" s="6"/>
      <c r="K718" s="6"/>
      <c r="L718" s="6"/>
      <c r="M718" s="6"/>
      <c r="N718" s="6"/>
      <c r="O718" s="6"/>
      <c r="P718" s="6"/>
    </row>
    <row r="719" spans="8:16" ht="14.25" customHeight="1" x14ac:dyDescent="0.15">
      <c r="H719" s="6"/>
      <c r="I719" s="6"/>
      <c r="J719" s="6"/>
      <c r="K719" s="6"/>
      <c r="L719" s="6"/>
      <c r="M719" s="6"/>
      <c r="N719" s="6"/>
      <c r="O719" s="6"/>
      <c r="P719" s="6"/>
    </row>
    <row r="720" spans="8:16" ht="14.25" customHeight="1" x14ac:dyDescent="0.15">
      <c r="H720" s="6"/>
      <c r="I720" s="6"/>
      <c r="J720" s="6"/>
      <c r="K720" s="6"/>
      <c r="L720" s="6"/>
      <c r="M720" s="6"/>
      <c r="N720" s="6"/>
      <c r="O720" s="6"/>
      <c r="P720" s="6"/>
    </row>
    <row r="721" spans="8:16" ht="14.25" customHeight="1" x14ac:dyDescent="0.15">
      <c r="H721" s="6"/>
      <c r="I721" s="6"/>
      <c r="J721" s="6"/>
      <c r="K721" s="6"/>
      <c r="L721" s="6"/>
      <c r="M721" s="6"/>
      <c r="N721" s="6"/>
      <c r="O721" s="6"/>
      <c r="P721" s="6"/>
    </row>
    <row r="722" spans="8:16" ht="14.25" customHeight="1" x14ac:dyDescent="0.15">
      <c r="H722" s="6"/>
      <c r="I722" s="6"/>
      <c r="J722" s="6"/>
      <c r="K722" s="6"/>
      <c r="L722" s="6"/>
      <c r="M722" s="6"/>
      <c r="N722" s="6"/>
      <c r="O722" s="6"/>
      <c r="P722" s="6"/>
    </row>
    <row r="723" spans="8:16" ht="14.25" customHeight="1" x14ac:dyDescent="0.15">
      <c r="H723" s="6"/>
      <c r="I723" s="6"/>
      <c r="J723" s="6"/>
      <c r="K723" s="6"/>
      <c r="L723" s="6"/>
      <c r="M723" s="6"/>
      <c r="N723" s="6"/>
      <c r="O723" s="6"/>
      <c r="P723" s="6"/>
    </row>
    <row r="724" spans="8:16" ht="14.25" customHeight="1" x14ac:dyDescent="0.15">
      <c r="H724" s="6"/>
      <c r="I724" s="6"/>
      <c r="J724" s="6"/>
      <c r="K724" s="6"/>
      <c r="L724" s="6"/>
      <c r="M724" s="6"/>
      <c r="N724" s="6"/>
      <c r="O724" s="6"/>
      <c r="P724" s="6"/>
    </row>
    <row r="725" spans="8:16" ht="14.25" customHeight="1" x14ac:dyDescent="0.15">
      <c r="H725" s="6"/>
      <c r="I725" s="6"/>
      <c r="J725" s="6"/>
      <c r="K725" s="6"/>
      <c r="L725" s="6"/>
      <c r="M725" s="6"/>
      <c r="N725" s="6"/>
      <c r="O725" s="6"/>
      <c r="P725" s="6"/>
    </row>
    <row r="726" spans="8:16" ht="14.25" customHeight="1" x14ac:dyDescent="0.15">
      <c r="H726" s="6"/>
      <c r="I726" s="6"/>
      <c r="J726" s="6"/>
      <c r="K726" s="6"/>
      <c r="L726" s="6"/>
      <c r="M726" s="6"/>
      <c r="N726" s="6"/>
      <c r="O726" s="6"/>
      <c r="P726" s="6"/>
    </row>
    <row r="727" spans="8:16" ht="14.25" customHeight="1" x14ac:dyDescent="0.15">
      <c r="H727" s="6"/>
      <c r="I727" s="6"/>
      <c r="J727" s="6"/>
      <c r="K727" s="6"/>
      <c r="L727" s="6"/>
      <c r="M727" s="6"/>
      <c r="N727" s="6"/>
      <c r="O727" s="6"/>
      <c r="P727" s="6"/>
    </row>
    <row r="728" spans="8:16" ht="14.25" customHeight="1" x14ac:dyDescent="0.15">
      <c r="H728" s="6"/>
      <c r="I728" s="6"/>
      <c r="J728" s="6"/>
      <c r="K728" s="6"/>
      <c r="L728" s="6"/>
      <c r="M728" s="6"/>
      <c r="N728" s="6"/>
      <c r="O728" s="6"/>
      <c r="P728" s="6"/>
    </row>
    <row r="729" spans="8:16" ht="14.25" customHeight="1" x14ac:dyDescent="0.15">
      <c r="H729" s="6"/>
      <c r="I729" s="6"/>
      <c r="J729" s="6"/>
      <c r="K729" s="6"/>
      <c r="L729" s="6"/>
      <c r="M729" s="6"/>
      <c r="N729" s="6"/>
      <c r="O729" s="6"/>
      <c r="P729" s="6"/>
    </row>
    <row r="730" spans="8:16" ht="14.25" customHeight="1" x14ac:dyDescent="0.15">
      <c r="H730" s="6"/>
      <c r="I730" s="6"/>
      <c r="J730" s="6"/>
      <c r="K730" s="6"/>
      <c r="L730" s="6"/>
      <c r="M730" s="6"/>
      <c r="N730" s="6"/>
      <c r="O730" s="6"/>
      <c r="P730" s="6"/>
    </row>
    <row r="731" spans="8:16" ht="14.25" customHeight="1" x14ac:dyDescent="0.15">
      <c r="H731" s="6"/>
      <c r="I731" s="6"/>
      <c r="J731" s="6"/>
      <c r="K731" s="6"/>
      <c r="L731" s="6"/>
      <c r="M731" s="6"/>
      <c r="N731" s="6"/>
      <c r="O731" s="6"/>
      <c r="P731" s="6"/>
    </row>
    <row r="732" spans="8:16" ht="14.25" customHeight="1" x14ac:dyDescent="0.15">
      <c r="H732" s="6"/>
      <c r="I732" s="6"/>
      <c r="J732" s="6"/>
      <c r="K732" s="6"/>
      <c r="L732" s="6"/>
      <c r="M732" s="6"/>
      <c r="N732" s="6"/>
      <c r="O732" s="6"/>
      <c r="P732" s="6"/>
    </row>
    <row r="733" spans="8:16" ht="14.25" customHeight="1" x14ac:dyDescent="0.15">
      <c r="H733" s="6"/>
      <c r="I733" s="6"/>
      <c r="J733" s="6"/>
      <c r="K733" s="6"/>
      <c r="L733" s="6"/>
      <c r="M733" s="6"/>
      <c r="N733" s="6"/>
      <c r="O733" s="6"/>
      <c r="P733" s="6"/>
    </row>
    <row r="734" spans="8:16" ht="14.25" customHeight="1" x14ac:dyDescent="0.15">
      <c r="H734" s="6"/>
      <c r="I734" s="6"/>
      <c r="J734" s="6"/>
      <c r="K734" s="6"/>
      <c r="L734" s="6"/>
      <c r="M734" s="6"/>
      <c r="N734" s="6"/>
      <c r="O734" s="6"/>
      <c r="P734" s="6"/>
    </row>
    <row r="735" spans="8:16" ht="14.25" customHeight="1" x14ac:dyDescent="0.15">
      <c r="H735" s="6"/>
      <c r="I735" s="6"/>
      <c r="J735" s="6"/>
      <c r="K735" s="6"/>
      <c r="L735" s="6"/>
      <c r="M735" s="6"/>
      <c r="N735" s="6"/>
      <c r="O735" s="6"/>
      <c r="P735" s="6"/>
    </row>
    <row r="736" spans="8:16" ht="14.25" customHeight="1" x14ac:dyDescent="0.15">
      <c r="H736" s="6"/>
      <c r="I736" s="6"/>
      <c r="J736" s="6"/>
      <c r="K736" s="6"/>
      <c r="L736" s="6"/>
      <c r="M736" s="6"/>
      <c r="N736" s="6"/>
      <c r="O736" s="6"/>
      <c r="P736" s="6"/>
    </row>
    <row r="737" spans="8:16" ht="14.25" customHeight="1" x14ac:dyDescent="0.15">
      <c r="H737" s="6"/>
      <c r="I737" s="6"/>
      <c r="J737" s="6"/>
      <c r="K737" s="6"/>
      <c r="L737" s="6"/>
      <c r="M737" s="6"/>
      <c r="N737" s="6"/>
      <c r="O737" s="6"/>
      <c r="P737" s="6"/>
    </row>
    <row r="738" spans="8:16" ht="14.25" customHeight="1" x14ac:dyDescent="0.15">
      <c r="H738" s="6"/>
      <c r="I738" s="6"/>
      <c r="J738" s="6"/>
      <c r="K738" s="6"/>
      <c r="L738" s="6"/>
      <c r="M738" s="6"/>
      <c r="N738" s="6"/>
      <c r="O738" s="6"/>
      <c r="P738" s="6"/>
    </row>
    <row r="739" spans="8:16" ht="14.25" customHeight="1" x14ac:dyDescent="0.15">
      <c r="H739" s="6"/>
      <c r="I739" s="6"/>
      <c r="J739" s="6"/>
      <c r="K739" s="6"/>
      <c r="L739" s="6"/>
      <c r="M739" s="6"/>
      <c r="N739" s="6"/>
      <c r="O739" s="6"/>
      <c r="P739" s="6"/>
    </row>
    <row r="740" spans="8:16" ht="14.25" customHeight="1" x14ac:dyDescent="0.15">
      <c r="H740" s="6"/>
      <c r="I740" s="6"/>
      <c r="J740" s="6"/>
      <c r="K740" s="6"/>
      <c r="L740" s="6"/>
      <c r="M740" s="6"/>
      <c r="N740" s="6"/>
      <c r="O740" s="6"/>
      <c r="P740" s="6"/>
    </row>
    <row r="741" spans="8:16" ht="14.25" customHeight="1" x14ac:dyDescent="0.15">
      <c r="H741" s="6"/>
      <c r="I741" s="6"/>
      <c r="J741" s="6"/>
      <c r="K741" s="6"/>
      <c r="L741" s="6"/>
      <c r="M741" s="6"/>
      <c r="N741" s="6"/>
      <c r="O741" s="6"/>
      <c r="P741" s="6"/>
    </row>
    <row r="742" spans="8:16" ht="14.25" customHeight="1" x14ac:dyDescent="0.15">
      <c r="H742" s="6"/>
      <c r="I742" s="6"/>
      <c r="J742" s="6"/>
      <c r="K742" s="6"/>
      <c r="L742" s="6"/>
      <c r="M742" s="6"/>
      <c r="N742" s="6"/>
      <c r="O742" s="6"/>
      <c r="P742" s="6"/>
    </row>
    <row r="743" spans="8:16" ht="14.25" customHeight="1" x14ac:dyDescent="0.15">
      <c r="H743" s="6"/>
      <c r="I743" s="6"/>
      <c r="J743" s="6"/>
      <c r="K743" s="6"/>
      <c r="L743" s="6"/>
      <c r="M743" s="6"/>
      <c r="N743" s="6"/>
      <c r="O743" s="6"/>
      <c r="P743" s="6"/>
    </row>
    <row r="744" spans="8:16" ht="14.25" customHeight="1" x14ac:dyDescent="0.15">
      <c r="H744" s="6"/>
      <c r="I744" s="6"/>
      <c r="J744" s="6"/>
      <c r="K744" s="6"/>
      <c r="L744" s="6"/>
      <c r="M744" s="6"/>
      <c r="N744" s="6"/>
      <c r="O744" s="6"/>
      <c r="P744" s="6"/>
    </row>
    <row r="745" spans="8:16" ht="14.25" customHeight="1" x14ac:dyDescent="0.15">
      <c r="H745" s="6"/>
      <c r="I745" s="6"/>
      <c r="J745" s="6"/>
      <c r="K745" s="6"/>
      <c r="L745" s="6"/>
      <c r="M745" s="6"/>
      <c r="N745" s="6"/>
      <c r="O745" s="6"/>
      <c r="P745" s="6"/>
    </row>
    <row r="746" spans="8:16" ht="14.25" customHeight="1" x14ac:dyDescent="0.15">
      <c r="H746" s="6"/>
      <c r="I746" s="6"/>
      <c r="J746" s="6"/>
      <c r="K746" s="6"/>
      <c r="L746" s="6"/>
      <c r="M746" s="6"/>
      <c r="N746" s="6"/>
      <c r="O746" s="6"/>
      <c r="P746" s="6"/>
    </row>
    <row r="747" spans="8:16" ht="14.25" customHeight="1" x14ac:dyDescent="0.15">
      <c r="H747" s="6"/>
      <c r="I747" s="6"/>
      <c r="J747" s="6"/>
      <c r="K747" s="6"/>
      <c r="L747" s="6"/>
      <c r="M747" s="6"/>
      <c r="N747" s="6"/>
      <c r="O747" s="6"/>
      <c r="P747" s="6"/>
    </row>
    <row r="748" spans="8:16" ht="14.25" customHeight="1" x14ac:dyDescent="0.15">
      <c r="H748" s="6"/>
      <c r="I748" s="6"/>
      <c r="J748" s="6"/>
      <c r="K748" s="6"/>
      <c r="L748" s="6"/>
      <c r="M748" s="6"/>
      <c r="N748" s="6"/>
      <c r="O748" s="6"/>
      <c r="P748" s="6"/>
    </row>
    <row r="749" spans="8:16" ht="14.25" customHeight="1" x14ac:dyDescent="0.15">
      <c r="H749" s="6"/>
      <c r="I749" s="6"/>
      <c r="J749" s="6"/>
      <c r="K749" s="6"/>
      <c r="L749" s="6"/>
      <c r="M749" s="6"/>
      <c r="N749" s="6"/>
      <c r="O749" s="6"/>
      <c r="P749" s="6"/>
    </row>
    <row r="750" spans="8:16" ht="14.25" customHeight="1" x14ac:dyDescent="0.15">
      <c r="H750" s="6"/>
      <c r="I750" s="6"/>
      <c r="J750" s="6"/>
      <c r="K750" s="6"/>
      <c r="L750" s="6"/>
      <c r="M750" s="6"/>
      <c r="N750" s="6"/>
      <c r="O750" s="6"/>
      <c r="P750" s="6"/>
    </row>
    <row r="751" spans="8:16" ht="14.25" customHeight="1" x14ac:dyDescent="0.15">
      <c r="H751" s="6"/>
      <c r="I751" s="6"/>
      <c r="J751" s="6"/>
      <c r="K751" s="6"/>
      <c r="L751" s="6"/>
      <c r="M751" s="6"/>
      <c r="N751" s="6"/>
      <c r="O751" s="6"/>
      <c r="P751" s="6"/>
    </row>
    <row r="752" spans="8:16" ht="14.25" customHeight="1" x14ac:dyDescent="0.15">
      <c r="H752" s="6"/>
      <c r="I752" s="6"/>
      <c r="J752" s="6"/>
      <c r="K752" s="6"/>
      <c r="L752" s="6"/>
      <c r="M752" s="6"/>
      <c r="N752" s="6"/>
      <c r="O752" s="6"/>
      <c r="P752" s="6"/>
    </row>
    <row r="753" spans="8:16" ht="14.25" customHeight="1" x14ac:dyDescent="0.15">
      <c r="H753" s="6"/>
      <c r="I753" s="6"/>
      <c r="J753" s="6"/>
      <c r="K753" s="6"/>
      <c r="L753" s="6"/>
      <c r="M753" s="6"/>
      <c r="N753" s="6"/>
      <c r="O753" s="6"/>
      <c r="P753" s="6"/>
    </row>
    <row r="754" spans="8:16" ht="14.25" customHeight="1" x14ac:dyDescent="0.15">
      <c r="H754" s="6"/>
      <c r="I754" s="6"/>
      <c r="J754" s="6"/>
      <c r="K754" s="6"/>
      <c r="L754" s="6"/>
      <c r="M754" s="6"/>
      <c r="N754" s="6"/>
      <c r="O754" s="6"/>
      <c r="P754" s="6"/>
    </row>
    <row r="755" spans="8:16" ht="14.25" customHeight="1" x14ac:dyDescent="0.15">
      <c r="H755" s="6"/>
      <c r="I755" s="6"/>
      <c r="J755" s="6"/>
      <c r="K755" s="6"/>
      <c r="L755" s="6"/>
      <c r="M755" s="6"/>
      <c r="N755" s="6"/>
      <c r="O755" s="6"/>
      <c r="P755" s="6"/>
    </row>
    <row r="756" spans="8:16" ht="14.25" customHeight="1" x14ac:dyDescent="0.15">
      <c r="H756" s="6"/>
      <c r="I756" s="6"/>
      <c r="J756" s="6"/>
      <c r="K756" s="6"/>
      <c r="L756" s="6"/>
      <c r="M756" s="6"/>
      <c r="N756" s="6"/>
      <c r="O756" s="6"/>
      <c r="P756" s="6"/>
    </row>
    <row r="757" spans="8:16" ht="14.25" customHeight="1" x14ac:dyDescent="0.15">
      <c r="H757" s="6"/>
      <c r="I757" s="6"/>
      <c r="J757" s="6"/>
      <c r="K757" s="6"/>
      <c r="L757" s="6"/>
      <c r="M757" s="6"/>
      <c r="N757" s="6"/>
      <c r="O757" s="6"/>
      <c r="P757" s="6"/>
    </row>
    <row r="758" spans="8:16" ht="14.25" customHeight="1" x14ac:dyDescent="0.15">
      <c r="H758" s="6"/>
      <c r="I758" s="6"/>
      <c r="J758" s="6"/>
      <c r="K758" s="6"/>
      <c r="L758" s="6"/>
      <c r="M758" s="6"/>
      <c r="N758" s="6"/>
      <c r="O758" s="6"/>
      <c r="P758" s="6"/>
    </row>
    <row r="759" spans="8:16" ht="14.25" customHeight="1" x14ac:dyDescent="0.15">
      <c r="H759" s="6"/>
      <c r="I759" s="6"/>
      <c r="J759" s="6"/>
      <c r="K759" s="6"/>
      <c r="L759" s="6"/>
      <c r="M759" s="6"/>
      <c r="N759" s="6"/>
      <c r="O759" s="6"/>
      <c r="P759" s="6"/>
    </row>
    <row r="760" spans="8:16" ht="14.25" customHeight="1" x14ac:dyDescent="0.15">
      <c r="H760" s="6"/>
      <c r="I760" s="6"/>
      <c r="J760" s="6"/>
      <c r="K760" s="6"/>
      <c r="L760" s="6"/>
      <c r="M760" s="6"/>
      <c r="N760" s="6"/>
      <c r="O760" s="6"/>
      <c r="P760" s="6"/>
    </row>
    <row r="761" spans="8:16" ht="14.25" customHeight="1" x14ac:dyDescent="0.15">
      <c r="H761" s="6"/>
      <c r="I761" s="6"/>
      <c r="J761" s="6"/>
      <c r="K761" s="6"/>
      <c r="L761" s="6"/>
      <c r="M761" s="6"/>
      <c r="N761" s="6"/>
      <c r="O761" s="6"/>
      <c r="P761" s="6"/>
    </row>
    <row r="762" spans="8:16" ht="14.25" customHeight="1" x14ac:dyDescent="0.15">
      <c r="H762" s="6"/>
      <c r="I762" s="6"/>
      <c r="J762" s="6"/>
      <c r="K762" s="6"/>
      <c r="L762" s="6"/>
      <c r="M762" s="6"/>
      <c r="N762" s="6"/>
      <c r="O762" s="6"/>
      <c r="P762" s="6"/>
    </row>
    <row r="763" spans="8:16" ht="14.25" customHeight="1" x14ac:dyDescent="0.15">
      <c r="H763" s="6"/>
      <c r="I763" s="6"/>
      <c r="J763" s="6"/>
      <c r="K763" s="6"/>
      <c r="L763" s="6"/>
      <c r="M763" s="6"/>
      <c r="N763" s="6"/>
      <c r="O763" s="6"/>
      <c r="P763" s="6"/>
    </row>
    <row r="764" spans="8:16" ht="14.25" customHeight="1" x14ac:dyDescent="0.15">
      <c r="H764" s="6"/>
      <c r="I764" s="6"/>
      <c r="J764" s="6"/>
      <c r="K764" s="6"/>
      <c r="L764" s="6"/>
      <c r="M764" s="6"/>
      <c r="N764" s="6"/>
      <c r="O764" s="6"/>
      <c r="P764" s="6"/>
    </row>
    <row r="765" spans="8:16" ht="14.25" customHeight="1" x14ac:dyDescent="0.15">
      <c r="H765" s="6"/>
      <c r="I765" s="6"/>
      <c r="J765" s="6"/>
      <c r="K765" s="6"/>
      <c r="L765" s="6"/>
      <c r="M765" s="6"/>
      <c r="N765" s="6"/>
      <c r="O765" s="6"/>
      <c r="P765" s="6"/>
    </row>
    <row r="766" spans="8:16" ht="14.25" customHeight="1" x14ac:dyDescent="0.15">
      <c r="H766" s="6"/>
      <c r="I766" s="6"/>
      <c r="J766" s="6"/>
      <c r="K766" s="6"/>
      <c r="L766" s="6"/>
      <c r="M766" s="6"/>
      <c r="N766" s="6"/>
      <c r="O766" s="6"/>
      <c r="P766" s="6"/>
    </row>
    <row r="767" spans="8:16" ht="14.25" customHeight="1" x14ac:dyDescent="0.15">
      <c r="H767" s="6"/>
      <c r="I767" s="6"/>
      <c r="J767" s="6"/>
      <c r="K767" s="6"/>
      <c r="L767" s="6"/>
      <c r="M767" s="6"/>
      <c r="N767" s="6"/>
      <c r="O767" s="6"/>
      <c r="P767" s="6"/>
    </row>
    <row r="768" spans="8:16" ht="14.25" customHeight="1" x14ac:dyDescent="0.15">
      <c r="H768" s="6"/>
      <c r="I768" s="6"/>
      <c r="J768" s="6"/>
      <c r="K768" s="6"/>
      <c r="L768" s="6"/>
      <c r="M768" s="6"/>
      <c r="N768" s="6"/>
      <c r="O768" s="6"/>
      <c r="P768" s="6"/>
    </row>
    <row r="769" spans="8:16" ht="14.25" customHeight="1" x14ac:dyDescent="0.15">
      <c r="H769" s="6"/>
      <c r="I769" s="6"/>
      <c r="J769" s="6"/>
      <c r="K769" s="6"/>
      <c r="L769" s="6"/>
      <c r="M769" s="6"/>
      <c r="N769" s="6"/>
      <c r="O769" s="6"/>
      <c r="P769" s="6"/>
    </row>
    <row r="770" spans="8:16" ht="14.25" customHeight="1" x14ac:dyDescent="0.15">
      <c r="H770" s="6"/>
      <c r="I770" s="6"/>
      <c r="J770" s="6"/>
      <c r="K770" s="6"/>
      <c r="L770" s="6"/>
      <c r="M770" s="6"/>
      <c r="N770" s="6"/>
      <c r="O770" s="6"/>
      <c r="P770" s="6"/>
    </row>
    <row r="771" spans="8:16" ht="14.25" customHeight="1" x14ac:dyDescent="0.15">
      <c r="H771" s="6"/>
      <c r="I771" s="6"/>
      <c r="J771" s="6"/>
      <c r="K771" s="6"/>
      <c r="L771" s="6"/>
      <c r="M771" s="6"/>
      <c r="N771" s="6"/>
      <c r="O771" s="6"/>
      <c r="P771" s="6"/>
    </row>
    <row r="772" spans="8:16" ht="14.25" customHeight="1" x14ac:dyDescent="0.15">
      <c r="H772" s="6"/>
      <c r="I772" s="6"/>
      <c r="J772" s="6"/>
      <c r="K772" s="6"/>
      <c r="L772" s="6"/>
      <c r="M772" s="6"/>
      <c r="N772" s="6"/>
      <c r="O772" s="6"/>
      <c r="P772" s="6"/>
    </row>
    <row r="773" spans="8:16" ht="14.25" customHeight="1" x14ac:dyDescent="0.15">
      <c r="H773" s="6"/>
      <c r="I773" s="6"/>
      <c r="J773" s="6"/>
      <c r="K773" s="6"/>
      <c r="L773" s="6"/>
      <c r="M773" s="6"/>
      <c r="N773" s="6"/>
      <c r="O773" s="6"/>
      <c r="P773" s="6"/>
    </row>
    <row r="774" spans="8:16" ht="14.25" customHeight="1" x14ac:dyDescent="0.15">
      <c r="H774" s="6"/>
      <c r="I774" s="6"/>
      <c r="J774" s="6"/>
      <c r="K774" s="6"/>
      <c r="L774" s="6"/>
      <c r="M774" s="6"/>
      <c r="N774" s="6"/>
      <c r="O774" s="6"/>
      <c r="P774" s="6"/>
    </row>
    <row r="775" spans="8:16" ht="14.25" customHeight="1" x14ac:dyDescent="0.15">
      <c r="H775" s="6"/>
      <c r="I775" s="6"/>
      <c r="J775" s="6"/>
      <c r="K775" s="6"/>
      <c r="L775" s="6"/>
      <c r="M775" s="6"/>
      <c r="N775" s="6"/>
      <c r="O775" s="6"/>
      <c r="P775" s="6"/>
    </row>
    <row r="776" spans="8:16" ht="14.25" customHeight="1" x14ac:dyDescent="0.15">
      <c r="H776" s="6"/>
      <c r="I776" s="6"/>
      <c r="J776" s="6"/>
      <c r="K776" s="6"/>
      <c r="L776" s="6"/>
      <c r="M776" s="6"/>
      <c r="N776" s="6"/>
      <c r="O776" s="6"/>
      <c r="P776" s="6"/>
    </row>
    <row r="777" spans="8:16" ht="14.25" customHeight="1" x14ac:dyDescent="0.15">
      <c r="H777" s="6"/>
      <c r="I777" s="6"/>
      <c r="J777" s="6"/>
      <c r="K777" s="6"/>
      <c r="L777" s="6"/>
      <c r="M777" s="6"/>
      <c r="N777" s="6"/>
      <c r="O777" s="6"/>
      <c r="P777" s="6"/>
    </row>
    <row r="778" spans="8:16" ht="14.25" customHeight="1" x14ac:dyDescent="0.15">
      <c r="H778" s="6"/>
      <c r="I778" s="6"/>
      <c r="J778" s="6"/>
      <c r="K778" s="6"/>
      <c r="L778" s="6"/>
      <c r="M778" s="6"/>
      <c r="N778" s="6"/>
      <c r="O778" s="6"/>
      <c r="P778" s="6"/>
    </row>
    <row r="779" spans="8:16" ht="14.25" customHeight="1" x14ac:dyDescent="0.15">
      <c r="H779" s="6"/>
      <c r="I779" s="6"/>
      <c r="J779" s="6"/>
      <c r="K779" s="6"/>
      <c r="L779" s="6"/>
      <c r="M779" s="6"/>
      <c r="N779" s="6"/>
      <c r="O779" s="6"/>
      <c r="P779" s="6"/>
    </row>
    <row r="780" spans="8:16" ht="14.25" customHeight="1" x14ac:dyDescent="0.15">
      <c r="H780" s="6"/>
      <c r="I780" s="6"/>
      <c r="J780" s="6"/>
      <c r="K780" s="6"/>
      <c r="L780" s="6"/>
      <c r="M780" s="6"/>
      <c r="N780" s="6"/>
      <c r="O780" s="6"/>
      <c r="P780" s="6"/>
    </row>
    <row r="781" spans="8:16" ht="14.25" customHeight="1" x14ac:dyDescent="0.15">
      <c r="H781" s="6"/>
      <c r="I781" s="6"/>
      <c r="J781" s="6"/>
      <c r="K781" s="6"/>
      <c r="L781" s="6"/>
      <c r="M781" s="6"/>
      <c r="N781" s="6"/>
      <c r="O781" s="6"/>
      <c r="P781" s="6"/>
    </row>
    <row r="782" spans="8:16" ht="14.25" customHeight="1" x14ac:dyDescent="0.15">
      <c r="H782" s="6"/>
      <c r="I782" s="6"/>
      <c r="J782" s="6"/>
      <c r="K782" s="6"/>
      <c r="L782" s="6"/>
      <c r="M782" s="6"/>
      <c r="N782" s="6"/>
      <c r="O782" s="6"/>
      <c r="P782" s="6"/>
    </row>
    <row r="783" spans="8:16" ht="14.25" customHeight="1" x14ac:dyDescent="0.15">
      <c r="H783" s="6"/>
      <c r="I783" s="6"/>
      <c r="J783" s="6"/>
      <c r="K783" s="6"/>
      <c r="L783" s="6"/>
      <c r="M783" s="6"/>
      <c r="N783" s="6"/>
      <c r="O783" s="6"/>
      <c r="P783" s="6"/>
    </row>
    <row r="784" spans="8:16" ht="14.25" customHeight="1" x14ac:dyDescent="0.15">
      <c r="H784" s="6"/>
      <c r="I784" s="6"/>
      <c r="J784" s="6"/>
      <c r="K784" s="6"/>
      <c r="L784" s="6"/>
      <c r="M784" s="6"/>
      <c r="N784" s="6"/>
      <c r="O784" s="6"/>
      <c r="P784" s="6"/>
    </row>
    <row r="785" spans="8:16" ht="14.25" customHeight="1" x14ac:dyDescent="0.15">
      <c r="H785" s="6"/>
      <c r="I785" s="6"/>
      <c r="J785" s="6"/>
      <c r="K785" s="6"/>
      <c r="L785" s="6"/>
      <c r="M785" s="6"/>
      <c r="N785" s="6"/>
      <c r="O785" s="6"/>
      <c r="P785" s="6"/>
    </row>
    <row r="786" spans="8:16" ht="14.25" customHeight="1" x14ac:dyDescent="0.15">
      <c r="H786" s="6"/>
      <c r="I786" s="6"/>
      <c r="J786" s="6"/>
      <c r="K786" s="6"/>
      <c r="L786" s="6"/>
      <c r="M786" s="6"/>
      <c r="N786" s="6"/>
      <c r="O786" s="6"/>
      <c r="P786" s="6"/>
    </row>
    <row r="787" spans="8:16" ht="14.25" customHeight="1" x14ac:dyDescent="0.15">
      <c r="H787" s="6"/>
      <c r="I787" s="6"/>
      <c r="J787" s="6"/>
      <c r="K787" s="6"/>
      <c r="L787" s="6"/>
      <c r="M787" s="6"/>
      <c r="N787" s="6"/>
      <c r="O787" s="6"/>
      <c r="P787" s="6"/>
    </row>
    <row r="788" spans="8:16" ht="14.25" customHeight="1" x14ac:dyDescent="0.15">
      <c r="H788" s="6"/>
      <c r="I788" s="6"/>
      <c r="J788" s="6"/>
      <c r="K788" s="6"/>
      <c r="L788" s="6"/>
      <c r="M788" s="6"/>
      <c r="N788" s="6"/>
      <c r="O788" s="6"/>
      <c r="P788" s="6"/>
    </row>
    <row r="789" spans="8:16" ht="14.25" customHeight="1" x14ac:dyDescent="0.15">
      <c r="H789" s="6"/>
      <c r="I789" s="6"/>
      <c r="J789" s="6"/>
      <c r="K789" s="6"/>
      <c r="L789" s="6"/>
      <c r="M789" s="6"/>
      <c r="N789" s="6"/>
      <c r="O789" s="6"/>
      <c r="P789" s="6"/>
    </row>
    <row r="790" spans="8:16" ht="14.25" customHeight="1" x14ac:dyDescent="0.15">
      <c r="H790" s="6"/>
      <c r="I790" s="6"/>
      <c r="J790" s="6"/>
      <c r="K790" s="6"/>
      <c r="L790" s="6"/>
      <c r="M790" s="6"/>
      <c r="N790" s="6"/>
      <c r="O790" s="6"/>
      <c r="P790" s="6"/>
    </row>
    <row r="791" spans="8:16" ht="14.25" customHeight="1" x14ac:dyDescent="0.15">
      <c r="H791" s="6"/>
      <c r="I791" s="6"/>
      <c r="J791" s="6"/>
      <c r="K791" s="6"/>
      <c r="L791" s="6"/>
      <c r="M791" s="6"/>
      <c r="N791" s="6"/>
      <c r="O791" s="6"/>
      <c r="P791" s="6"/>
    </row>
    <row r="792" spans="8:16" ht="14.25" customHeight="1" x14ac:dyDescent="0.15">
      <c r="H792" s="6"/>
      <c r="I792" s="6"/>
      <c r="J792" s="6"/>
      <c r="K792" s="6"/>
      <c r="L792" s="6"/>
      <c r="M792" s="6"/>
      <c r="N792" s="6"/>
      <c r="O792" s="6"/>
      <c r="P792" s="6"/>
    </row>
    <row r="793" spans="8:16" ht="14.25" customHeight="1" x14ac:dyDescent="0.15">
      <c r="H793" s="6"/>
      <c r="I793" s="6"/>
      <c r="J793" s="6"/>
      <c r="K793" s="6"/>
      <c r="L793" s="6"/>
      <c r="M793" s="6"/>
      <c r="N793" s="6"/>
      <c r="O793" s="6"/>
      <c r="P793" s="6"/>
    </row>
    <row r="794" spans="8:16" ht="14.25" customHeight="1" x14ac:dyDescent="0.15">
      <c r="H794" s="6"/>
      <c r="I794" s="6"/>
      <c r="J794" s="6"/>
      <c r="K794" s="6"/>
      <c r="L794" s="6"/>
      <c r="M794" s="6"/>
      <c r="N794" s="6"/>
      <c r="O794" s="6"/>
      <c r="P794" s="6"/>
    </row>
    <row r="795" spans="8:16" ht="14.25" customHeight="1" x14ac:dyDescent="0.15">
      <c r="H795" s="6"/>
      <c r="I795" s="6"/>
      <c r="J795" s="6"/>
      <c r="K795" s="6"/>
      <c r="L795" s="6"/>
      <c r="M795" s="6"/>
      <c r="N795" s="6"/>
      <c r="O795" s="6"/>
      <c r="P795" s="6"/>
    </row>
    <row r="796" spans="8:16" ht="14.25" customHeight="1" x14ac:dyDescent="0.15">
      <c r="H796" s="6"/>
      <c r="I796" s="6"/>
      <c r="J796" s="6"/>
      <c r="K796" s="6"/>
      <c r="L796" s="6"/>
      <c r="M796" s="6"/>
      <c r="N796" s="6"/>
      <c r="O796" s="6"/>
      <c r="P796" s="6"/>
    </row>
    <row r="797" spans="8:16" ht="14.25" customHeight="1" x14ac:dyDescent="0.15">
      <c r="H797" s="6"/>
      <c r="I797" s="6"/>
      <c r="J797" s="6"/>
      <c r="K797" s="6"/>
      <c r="L797" s="6"/>
      <c r="M797" s="6"/>
      <c r="N797" s="6"/>
      <c r="O797" s="6"/>
      <c r="P797" s="6"/>
    </row>
    <row r="798" spans="8:16" ht="14.25" customHeight="1" x14ac:dyDescent="0.15">
      <c r="H798" s="6"/>
      <c r="I798" s="6"/>
      <c r="J798" s="6"/>
      <c r="K798" s="6"/>
      <c r="L798" s="6"/>
      <c r="M798" s="6"/>
      <c r="N798" s="6"/>
      <c r="O798" s="6"/>
      <c r="P798" s="6"/>
    </row>
    <row r="799" spans="8:16" ht="14.25" customHeight="1" x14ac:dyDescent="0.15">
      <c r="H799" s="6"/>
      <c r="I799" s="6"/>
      <c r="J799" s="6"/>
      <c r="K799" s="6"/>
      <c r="L799" s="6"/>
      <c r="M799" s="6"/>
      <c r="N799" s="6"/>
      <c r="O799" s="6"/>
      <c r="P799" s="6"/>
    </row>
    <row r="800" spans="8:16" ht="14.25" customHeight="1" x14ac:dyDescent="0.15">
      <c r="H800" s="6"/>
      <c r="I800" s="6"/>
      <c r="J800" s="6"/>
      <c r="K800" s="6"/>
      <c r="L800" s="6"/>
      <c r="M800" s="6"/>
      <c r="N800" s="6"/>
      <c r="O800" s="6"/>
      <c r="P800" s="6"/>
    </row>
    <row r="801" spans="8:16" ht="14.25" customHeight="1" x14ac:dyDescent="0.15">
      <c r="H801" s="6"/>
      <c r="I801" s="6"/>
      <c r="J801" s="6"/>
      <c r="K801" s="6"/>
      <c r="L801" s="6"/>
      <c r="M801" s="6"/>
      <c r="N801" s="6"/>
      <c r="O801" s="6"/>
      <c r="P801" s="6"/>
    </row>
    <row r="802" spans="8:16" ht="14.25" customHeight="1" x14ac:dyDescent="0.15">
      <c r="H802" s="6"/>
      <c r="I802" s="6"/>
      <c r="J802" s="6"/>
      <c r="K802" s="6"/>
      <c r="L802" s="6"/>
      <c r="M802" s="6"/>
      <c r="N802" s="6"/>
      <c r="O802" s="6"/>
      <c r="P802" s="6"/>
    </row>
    <row r="803" spans="8:16" ht="14.25" customHeight="1" x14ac:dyDescent="0.15">
      <c r="H803" s="6"/>
      <c r="I803" s="6"/>
      <c r="J803" s="6"/>
      <c r="K803" s="6"/>
      <c r="L803" s="6"/>
      <c r="M803" s="6"/>
      <c r="N803" s="6"/>
      <c r="O803" s="6"/>
      <c r="P803" s="6"/>
    </row>
    <row r="804" spans="8:16" ht="14.25" customHeight="1" x14ac:dyDescent="0.15">
      <c r="H804" s="6"/>
      <c r="I804" s="6"/>
      <c r="J804" s="6"/>
      <c r="K804" s="6"/>
      <c r="L804" s="6"/>
      <c r="M804" s="6"/>
      <c r="N804" s="6"/>
      <c r="O804" s="6"/>
      <c r="P804" s="6"/>
    </row>
    <row r="805" spans="8:16" ht="14.25" customHeight="1" x14ac:dyDescent="0.15">
      <c r="H805" s="6"/>
      <c r="I805" s="6"/>
      <c r="J805" s="6"/>
      <c r="K805" s="6"/>
      <c r="L805" s="6"/>
      <c r="M805" s="6"/>
      <c r="N805" s="6"/>
      <c r="O805" s="6"/>
      <c r="P805" s="6"/>
    </row>
    <row r="806" spans="8:16" ht="14.25" customHeight="1" x14ac:dyDescent="0.15">
      <c r="H806" s="6"/>
      <c r="I806" s="6"/>
      <c r="J806" s="6"/>
      <c r="K806" s="6"/>
      <c r="L806" s="6"/>
      <c r="M806" s="6"/>
      <c r="N806" s="6"/>
      <c r="O806" s="6"/>
      <c r="P806" s="6"/>
    </row>
    <row r="807" spans="8:16" ht="14.25" customHeight="1" x14ac:dyDescent="0.15">
      <c r="H807" s="6"/>
      <c r="I807" s="6"/>
      <c r="J807" s="6"/>
      <c r="K807" s="6"/>
      <c r="L807" s="6"/>
      <c r="M807" s="6"/>
      <c r="N807" s="6"/>
      <c r="O807" s="6"/>
      <c r="P807" s="6"/>
    </row>
    <row r="808" spans="8:16" ht="14.25" customHeight="1" x14ac:dyDescent="0.15">
      <c r="H808" s="6"/>
      <c r="I808" s="6"/>
      <c r="J808" s="6"/>
      <c r="K808" s="6"/>
      <c r="L808" s="6"/>
      <c r="M808" s="6"/>
      <c r="N808" s="6"/>
      <c r="O808" s="6"/>
      <c r="P808" s="6"/>
    </row>
    <row r="809" spans="8:16" ht="14.25" customHeight="1" x14ac:dyDescent="0.15">
      <c r="H809" s="6"/>
      <c r="I809" s="6"/>
      <c r="J809" s="6"/>
      <c r="K809" s="6"/>
      <c r="L809" s="6"/>
      <c r="M809" s="6"/>
      <c r="N809" s="6"/>
      <c r="O809" s="6"/>
      <c r="P809" s="6"/>
    </row>
    <row r="810" spans="8:16" ht="14.25" customHeight="1" x14ac:dyDescent="0.15">
      <c r="H810" s="6"/>
      <c r="I810" s="6"/>
      <c r="J810" s="6"/>
      <c r="K810" s="6"/>
      <c r="L810" s="6"/>
      <c r="M810" s="6"/>
      <c r="N810" s="6"/>
      <c r="O810" s="6"/>
      <c r="P810" s="6"/>
    </row>
    <row r="811" spans="8:16" ht="14.25" customHeight="1" x14ac:dyDescent="0.15">
      <c r="H811" s="6"/>
      <c r="I811" s="6"/>
      <c r="J811" s="6"/>
      <c r="K811" s="6"/>
      <c r="L811" s="6"/>
      <c r="M811" s="6"/>
      <c r="N811" s="6"/>
      <c r="O811" s="6"/>
      <c r="P811" s="6"/>
    </row>
    <row r="812" spans="8:16" ht="14.25" customHeight="1" x14ac:dyDescent="0.15">
      <c r="H812" s="6"/>
      <c r="I812" s="6"/>
      <c r="J812" s="6"/>
      <c r="K812" s="6"/>
      <c r="L812" s="6"/>
      <c r="M812" s="6"/>
      <c r="N812" s="6"/>
      <c r="O812" s="6"/>
      <c r="P812" s="6"/>
    </row>
    <row r="813" spans="8:16" ht="14.25" customHeight="1" x14ac:dyDescent="0.15">
      <c r="H813" s="6"/>
      <c r="I813" s="6"/>
      <c r="J813" s="6"/>
      <c r="K813" s="6"/>
      <c r="L813" s="6"/>
      <c r="M813" s="6"/>
      <c r="N813" s="6"/>
      <c r="O813" s="6"/>
      <c r="P813" s="6"/>
    </row>
    <row r="814" spans="8:16" ht="14.25" customHeight="1" x14ac:dyDescent="0.15">
      <c r="H814" s="6"/>
      <c r="I814" s="6"/>
      <c r="J814" s="6"/>
      <c r="K814" s="6"/>
      <c r="L814" s="6"/>
      <c r="M814" s="6"/>
      <c r="N814" s="6"/>
      <c r="O814" s="6"/>
      <c r="P814" s="6"/>
    </row>
    <row r="815" spans="8:16" ht="14.25" customHeight="1" x14ac:dyDescent="0.15">
      <c r="H815" s="6"/>
      <c r="I815" s="6"/>
      <c r="J815" s="6"/>
      <c r="K815" s="6"/>
      <c r="L815" s="6"/>
      <c r="M815" s="6"/>
      <c r="N815" s="6"/>
      <c r="O815" s="6"/>
      <c r="P815" s="6"/>
    </row>
    <row r="816" spans="8:16" ht="14.25" customHeight="1" x14ac:dyDescent="0.15">
      <c r="H816" s="6"/>
      <c r="I816" s="6"/>
      <c r="J816" s="6"/>
      <c r="K816" s="6"/>
      <c r="L816" s="6"/>
      <c r="M816" s="6"/>
      <c r="N816" s="6"/>
      <c r="O816" s="6"/>
      <c r="P816" s="6"/>
    </row>
    <row r="817" spans="8:16" ht="14.25" customHeight="1" x14ac:dyDescent="0.15">
      <c r="H817" s="6"/>
      <c r="I817" s="6"/>
      <c r="J817" s="6"/>
      <c r="K817" s="6"/>
      <c r="L817" s="6"/>
      <c r="M817" s="6"/>
      <c r="N817" s="6"/>
      <c r="O817" s="6"/>
      <c r="P817" s="6"/>
    </row>
    <row r="818" spans="8:16" ht="14.25" customHeight="1" x14ac:dyDescent="0.15">
      <c r="H818" s="6"/>
      <c r="I818" s="6"/>
      <c r="J818" s="6"/>
      <c r="K818" s="6"/>
      <c r="L818" s="6"/>
      <c r="M818" s="6"/>
      <c r="N818" s="6"/>
      <c r="O818" s="6"/>
      <c r="P818" s="6"/>
    </row>
    <row r="819" spans="8:16" ht="14.25" customHeight="1" x14ac:dyDescent="0.15">
      <c r="H819" s="6"/>
      <c r="I819" s="6"/>
      <c r="J819" s="6"/>
      <c r="K819" s="6"/>
      <c r="L819" s="6"/>
      <c r="M819" s="6"/>
      <c r="N819" s="6"/>
      <c r="O819" s="6"/>
      <c r="P819" s="6"/>
    </row>
    <row r="820" spans="8:16" ht="14.25" customHeight="1" x14ac:dyDescent="0.15">
      <c r="H820" s="6"/>
      <c r="I820" s="6"/>
      <c r="J820" s="6"/>
      <c r="K820" s="6"/>
      <c r="L820" s="6"/>
      <c r="M820" s="6"/>
      <c r="N820" s="6"/>
      <c r="O820" s="6"/>
      <c r="P820" s="6"/>
    </row>
    <row r="821" spans="8:16" ht="14.25" customHeight="1" x14ac:dyDescent="0.15">
      <c r="H821" s="6"/>
      <c r="I821" s="6"/>
      <c r="J821" s="6"/>
      <c r="K821" s="6"/>
      <c r="L821" s="6"/>
      <c r="M821" s="6"/>
      <c r="N821" s="6"/>
      <c r="O821" s="6"/>
      <c r="P821" s="6"/>
    </row>
    <row r="822" spans="8:16" ht="14.25" customHeight="1" x14ac:dyDescent="0.15">
      <c r="H822" s="6"/>
      <c r="I822" s="6"/>
      <c r="J822" s="6"/>
      <c r="K822" s="6"/>
      <c r="L822" s="6"/>
      <c r="M822" s="6"/>
      <c r="N822" s="6"/>
      <c r="O822" s="6"/>
      <c r="P822" s="6"/>
    </row>
    <row r="823" spans="8:16" ht="14.25" customHeight="1" x14ac:dyDescent="0.15">
      <c r="H823" s="6"/>
      <c r="I823" s="6"/>
      <c r="J823" s="6"/>
      <c r="K823" s="6"/>
      <c r="L823" s="6"/>
      <c r="M823" s="6"/>
      <c r="N823" s="6"/>
      <c r="O823" s="6"/>
      <c r="P823" s="6"/>
    </row>
    <row r="824" spans="8:16" ht="14.25" customHeight="1" x14ac:dyDescent="0.15">
      <c r="H824" s="6"/>
      <c r="I824" s="6"/>
      <c r="J824" s="6"/>
      <c r="K824" s="6"/>
      <c r="L824" s="6"/>
      <c r="M824" s="6"/>
      <c r="N824" s="6"/>
      <c r="O824" s="6"/>
      <c r="P824" s="6"/>
    </row>
    <row r="825" spans="8:16" ht="14.25" customHeight="1" x14ac:dyDescent="0.15">
      <c r="H825" s="6"/>
      <c r="I825" s="6"/>
      <c r="J825" s="6"/>
      <c r="K825" s="6"/>
      <c r="L825" s="6"/>
      <c r="M825" s="6"/>
      <c r="N825" s="6"/>
      <c r="O825" s="6"/>
      <c r="P825" s="6"/>
    </row>
    <row r="826" spans="8:16" ht="14.25" customHeight="1" x14ac:dyDescent="0.15">
      <c r="H826" s="6"/>
      <c r="I826" s="6"/>
      <c r="J826" s="6"/>
      <c r="K826" s="6"/>
      <c r="L826" s="6"/>
      <c r="M826" s="6"/>
      <c r="N826" s="6"/>
      <c r="O826" s="6"/>
      <c r="P826" s="6"/>
    </row>
    <row r="827" spans="8:16" ht="14.25" customHeight="1" x14ac:dyDescent="0.15">
      <c r="H827" s="6"/>
      <c r="I827" s="6"/>
      <c r="J827" s="6"/>
      <c r="K827" s="6"/>
      <c r="L827" s="6"/>
      <c r="M827" s="6"/>
      <c r="N827" s="6"/>
      <c r="O827" s="6"/>
      <c r="P827" s="6"/>
    </row>
    <row r="828" spans="8:16" ht="14.25" customHeight="1" x14ac:dyDescent="0.15">
      <c r="H828" s="6"/>
      <c r="I828" s="6"/>
      <c r="J828" s="6"/>
      <c r="K828" s="6"/>
      <c r="L828" s="6"/>
      <c r="M828" s="6"/>
      <c r="N828" s="6"/>
      <c r="O828" s="6"/>
      <c r="P828" s="6"/>
    </row>
    <row r="829" spans="8:16" ht="14.25" customHeight="1" x14ac:dyDescent="0.15">
      <c r="H829" s="6"/>
      <c r="I829" s="6"/>
      <c r="J829" s="6"/>
      <c r="K829" s="6"/>
      <c r="L829" s="6"/>
      <c r="M829" s="6"/>
      <c r="N829" s="6"/>
      <c r="O829" s="6"/>
      <c r="P829" s="6"/>
    </row>
    <row r="830" spans="8:16" ht="14.25" customHeight="1" x14ac:dyDescent="0.15">
      <c r="H830" s="6"/>
      <c r="I830" s="6"/>
      <c r="J830" s="6"/>
      <c r="K830" s="6"/>
      <c r="L830" s="6"/>
      <c r="M830" s="6"/>
      <c r="N830" s="6"/>
      <c r="O830" s="6"/>
      <c r="P830" s="6"/>
    </row>
    <row r="831" spans="8:16" ht="14.25" customHeight="1" x14ac:dyDescent="0.15">
      <c r="H831" s="6"/>
      <c r="I831" s="6"/>
      <c r="J831" s="6"/>
      <c r="K831" s="6"/>
      <c r="L831" s="6"/>
      <c r="M831" s="6"/>
      <c r="N831" s="6"/>
      <c r="O831" s="6"/>
      <c r="P831" s="6"/>
    </row>
    <row r="832" spans="8:16" ht="14.25" customHeight="1" x14ac:dyDescent="0.15">
      <c r="H832" s="6"/>
      <c r="I832" s="6"/>
      <c r="J832" s="6"/>
      <c r="K832" s="6"/>
      <c r="L832" s="6"/>
      <c r="M832" s="6"/>
      <c r="N832" s="6"/>
      <c r="O832" s="6"/>
      <c r="P832" s="6"/>
    </row>
    <row r="833" spans="8:16" ht="14.25" customHeight="1" x14ac:dyDescent="0.15">
      <c r="H833" s="6"/>
      <c r="I833" s="6"/>
      <c r="J833" s="6"/>
      <c r="K833" s="6"/>
      <c r="L833" s="6"/>
      <c r="M833" s="6"/>
      <c r="N833" s="6"/>
      <c r="O833" s="6"/>
      <c r="P833" s="6"/>
    </row>
    <row r="834" spans="8:16" ht="14.25" customHeight="1" x14ac:dyDescent="0.15">
      <c r="H834" s="6"/>
      <c r="I834" s="6"/>
      <c r="J834" s="6"/>
      <c r="K834" s="6"/>
      <c r="L834" s="6"/>
      <c r="M834" s="6"/>
      <c r="N834" s="6"/>
      <c r="O834" s="6"/>
      <c r="P834" s="6"/>
    </row>
    <row r="835" spans="8:16" ht="14.25" customHeight="1" x14ac:dyDescent="0.15">
      <c r="H835" s="6"/>
      <c r="I835" s="6"/>
      <c r="J835" s="6"/>
      <c r="K835" s="6"/>
      <c r="L835" s="6"/>
      <c r="M835" s="6"/>
      <c r="N835" s="6"/>
      <c r="O835" s="6"/>
      <c r="P835" s="6"/>
    </row>
    <row r="836" spans="8:16" ht="14.25" customHeight="1" x14ac:dyDescent="0.15">
      <c r="H836" s="6"/>
      <c r="I836" s="6"/>
      <c r="J836" s="6"/>
      <c r="K836" s="6"/>
      <c r="L836" s="6"/>
      <c r="M836" s="6"/>
      <c r="N836" s="6"/>
      <c r="O836" s="6"/>
      <c r="P836" s="6"/>
    </row>
    <row r="837" spans="8:16" ht="14.25" customHeight="1" x14ac:dyDescent="0.15">
      <c r="H837" s="6"/>
      <c r="I837" s="6"/>
      <c r="J837" s="6"/>
      <c r="K837" s="6"/>
      <c r="L837" s="6"/>
      <c r="M837" s="6"/>
      <c r="N837" s="6"/>
      <c r="O837" s="6"/>
      <c r="P837" s="6"/>
    </row>
    <row r="838" spans="8:16" ht="14.25" customHeight="1" x14ac:dyDescent="0.15">
      <c r="H838" s="6"/>
      <c r="I838" s="6"/>
      <c r="J838" s="6"/>
      <c r="K838" s="6"/>
      <c r="L838" s="6"/>
      <c r="M838" s="6"/>
      <c r="N838" s="6"/>
      <c r="O838" s="6"/>
      <c r="P838" s="6"/>
    </row>
    <row r="839" spans="8:16" ht="14.25" customHeight="1" x14ac:dyDescent="0.15">
      <c r="H839" s="6"/>
      <c r="I839" s="6"/>
      <c r="J839" s="6"/>
      <c r="K839" s="6"/>
      <c r="L839" s="6"/>
      <c r="M839" s="6"/>
      <c r="N839" s="6"/>
      <c r="O839" s="6"/>
      <c r="P839" s="6"/>
    </row>
    <row r="840" spans="8:16" ht="14.25" customHeight="1" x14ac:dyDescent="0.15">
      <c r="H840" s="6"/>
      <c r="I840" s="6"/>
      <c r="J840" s="6"/>
      <c r="K840" s="6"/>
      <c r="L840" s="6"/>
      <c r="M840" s="6"/>
      <c r="N840" s="6"/>
      <c r="O840" s="6"/>
      <c r="P840" s="6"/>
    </row>
    <row r="841" spans="8:16" ht="14.25" customHeight="1" x14ac:dyDescent="0.15">
      <c r="H841" s="6"/>
      <c r="I841" s="6"/>
      <c r="J841" s="6"/>
      <c r="K841" s="6"/>
      <c r="L841" s="6"/>
      <c r="M841" s="6"/>
      <c r="N841" s="6"/>
      <c r="O841" s="6"/>
      <c r="P841" s="6"/>
    </row>
    <row r="842" spans="8:16" ht="14.25" customHeight="1" x14ac:dyDescent="0.15">
      <c r="H842" s="6"/>
      <c r="I842" s="6"/>
      <c r="J842" s="6"/>
      <c r="K842" s="6"/>
      <c r="L842" s="6"/>
      <c r="M842" s="6"/>
      <c r="N842" s="6"/>
      <c r="O842" s="6"/>
      <c r="P842" s="6"/>
    </row>
    <row r="843" spans="8:16" ht="14.25" customHeight="1" x14ac:dyDescent="0.15">
      <c r="H843" s="6"/>
      <c r="I843" s="6"/>
      <c r="J843" s="6"/>
      <c r="K843" s="6"/>
      <c r="L843" s="6"/>
      <c r="M843" s="6"/>
      <c r="N843" s="6"/>
      <c r="O843" s="6"/>
      <c r="P843" s="6"/>
    </row>
    <row r="844" spans="8:16" ht="14.25" customHeight="1" x14ac:dyDescent="0.15">
      <c r="H844" s="6"/>
      <c r="I844" s="6"/>
      <c r="J844" s="6"/>
      <c r="K844" s="6"/>
      <c r="L844" s="6"/>
      <c r="M844" s="6"/>
      <c r="N844" s="6"/>
      <c r="O844" s="6"/>
      <c r="P844" s="6"/>
    </row>
    <row r="845" spans="8:16" ht="14.25" customHeight="1" x14ac:dyDescent="0.15">
      <c r="H845" s="6"/>
      <c r="I845" s="6"/>
      <c r="J845" s="6"/>
      <c r="K845" s="6"/>
      <c r="L845" s="6"/>
      <c r="M845" s="6"/>
      <c r="N845" s="6"/>
      <c r="O845" s="6"/>
      <c r="P845" s="6"/>
    </row>
    <row r="846" spans="8:16" ht="14.25" customHeight="1" x14ac:dyDescent="0.15">
      <c r="H846" s="6"/>
      <c r="I846" s="6"/>
      <c r="J846" s="6"/>
      <c r="K846" s="6"/>
      <c r="L846" s="6"/>
      <c r="M846" s="6"/>
      <c r="N846" s="6"/>
      <c r="O846" s="6"/>
      <c r="P846" s="6"/>
    </row>
    <row r="847" spans="8:16" ht="14.25" customHeight="1" x14ac:dyDescent="0.15">
      <c r="H847" s="6"/>
      <c r="I847" s="6"/>
      <c r="J847" s="6"/>
      <c r="K847" s="6"/>
      <c r="L847" s="6"/>
      <c r="M847" s="6"/>
      <c r="N847" s="6"/>
      <c r="O847" s="6"/>
      <c r="P847" s="6"/>
    </row>
    <row r="848" spans="8:16" ht="14.25" customHeight="1" x14ac:dyDescent="0.15">
      <c r="H848" s="6"/>
      <c r="I848" s="6"/>
      <c r="J848" s="6"/>
      <c r="K848" s="6"/>
      <c r="L848" s="6"/>
      <c r="M848" s="6"/>
      <c r="N848" s="6"/>
      <c r="O848" s="6"/>
      <c r="P848" s="6"/>
    </row>
    <row r="849" spans="8:16" ht="14.25" customHeight="1" x14ac:dyDescent="0.15">
      <c r="H849" s="6"/>
      <c r="I849" s="6"/>
      <c r="J849" s="6"/>
      <c r="K849" s="6"/>
      <c r="L849" s="6"/>
      <c r="M849" s="6"/>
      <c r="N849" s="6"/>
      <c r="O849" s="6"/>
      <c r="P849" s="6"/>
    </row>
    <row r="850" spans="8:16" ht="14.25" customHeight="1" x14ac:dyDescent="0.15">
      <c r="H850" s="6"/>
      <c r="I850" s="6"/>
      <c r="J850" s="6"/>
      <c r="K850" s="6"/>
      <c r="L850" s="6"/>
      <c r="M850" s="6"/>
      <c r="N850" s="6"/>
      <c r="O850" s="6"/>
      <c r="P850" s="6"/>
    </row>
    <row r="851" spans="8:16" ht="14.25" customHeight="1" x14ac:dyDescent="0.15">
      <c r="H851" s="6"/>
      <c r="I851" s="6"/>
      <c r="J851" s="6"/>
      <c r="K851" s="6"/>
      <c r="L851" s="6"/>
      <c r="M851" s="6"/>
      <c r="N851" s="6"/>
      <c r="O851" s="6"/>
      <c r="P851" s="6"/>
    </row>
    <row r="852" spans="8:16" ht="14.25" customHeight="1" x14ac:dyDescent="0.15">
      <c r="H852" s="6"/>
      <c r="I852" s="6"/>
      <c r="J852" s="6"/>
      <c r="K852" s="6"/>
      <c r="L852" s="6"/>
      <c r="M852" s="6"/>
      <c r="N852" s="6"/>
      <c r="O852" s="6"/>
      <c r="P852" s="6"/>
    </row>
    <row r="853" spans="8:16" ht="14.25" customHeight="1" x14ac:dyDescent="0.15">
      <c r="H853" s="6"/>
      <c r="I853" s="6"/>
      <c r="J853" s="6"/>
      <c r="K853" s="6"/>
      <c r="L853" s="6"/>
      <c r="M853" s="6"/>
      <c r="N853" s="6"/>
      <c r="O853" s="6"/>
      <c r="P853" s="6"/>
    </row>
    <row r="854" spans="8:16" ht="14.25" customHeight="1" x14ac:dyDescent="0.15">
      <c r="H854" s="6"/>
      <c r="I854" s="6"/>
      <c r="J854" s="6"/>
      <c r="K854" s="6"/>
      <c r="L854" s="6"/>
      <c r="M854" s="6"/>
      <c r="N854" s="6"/>
      <c r="O854" s="6"/>
      <c r="P854" s="6"/>
    </row>
    <row r="855" spans="8:16" ht="14.25" customHeight="1" x14ac:dyDescent="0.15">
      <c r="H855" s="6"/>
      <c r="I855" s="6"/>
      <c r="J855" s="6"/>
      <c r="K855" s="6"/>
      <c r="L855" s="6"/>
      <c r="M855" s="6"/>
      <c r="N855" s="6"/>
      <c r="O855" s="6"/>
      <c r="P855" s="6"/>
    </row>
    <row r="856" spans="8:16" ht="14.25" customHeight="1" x14ac:dyDescent="0.15">
      <c r="H856" s="6"/>
      <c r="I856" s="6"/>
      <c r="J856" s="6"/>
      <c r="K856" s="6"/>
      <c r="L856" s="6"/>
      <c r="M856" s="6"/>
      <c r="N856" s="6"/>
      <c r="O856" s="6"/>
      <c r="P856" s="6"/>
    </row>
    <row r="857" spans="8:16" ht="14.25" customHeight="1" x14ac:dyDescent="0.15">
      <c r="H857" s="6"/>
      <c r="I857" s="6"/>
      <c r="J857" s="6"/>
      <c r="K857" s="6"/>
      <c r="L857" s="6"/>
      <c r="M857" s="6"/>
      <c r="N857" s="6"/>
      <c r="O857" s="6"/>
      <c r="P857" s="6"/>
    </row>
    <row r="858" spans="8:16" ht="14.25" customHeight="1" x14ac:dyDescent="0.15">
      <c r="H858" s="6"/>
      <c r="I858" s="6"/>
      <c r="J858" s="6"/>
      <c r="K858" s="6"/>
      <c r="L858" s="6"/>
      <c r="M858" s="6"/>
      <c r="N858" s="6"/>
      <c r="O858" s="6"/>
      <c r="P858" s="6"/>
    </row>
    <row r="859" spans="8:16" ht="14.25" customHeight="1" x14ac:dyDescent="0.15">
      <c r="H859" s="6"/>
      <c r="I859" s="6"/>
      <c r="J859" s="6"/>
      <c r="K859" s="6"/>
      <c r="L859" s="6"/>
      <c r="M859" s="6"/>
      <c r="N859" s="6"/>
      <c r="O859" s="6"/>
      <c r="P859" s="6"/>
    </row>
    <row r="860" spans="8:16" ht="14.25" customHeight="1" x14ac:dyDescent="0.15">
      <c r="H860" s="6"/>
      <c r="I860" s="6"/>
      <c r="J860" s="6"/>
      <c r="K860" s="6"/>
      <c r="L860" s="6"/>
      <c r="M860" s="6"/>
      <c r="N860" s="6"/>
      <c r="O860" s="6"/>
      <c r="P860" s="6"/>
    </row>
    <row r="861" spans="8:16" ht="14.25" customHeight="1" x14ac:dyDescent="0.15">
      <c r="H861" s="6"/>
      <c r="I861" s="6"/>
      <c r="J861" s="6"/>
      <c r="K861" s="6"/>
      <c r="L861" s="6"/>
      <c r="M861" s="6"/>
      <c r="N861" s="6"/>
      <c r="O861" s="6"/>
      <c r="P861" s="6"/>
    </row>
    <row r="862" spans="8:16" ht="14.25" customHeight="1" x14ac:dyDescent="0.15">
      <c r="H862" s="6"/>
      <c r="I862" s="6"/>
      <c r="J862" s="6"/>
      <c r="K862" s="6"/>
      <c r="L862" s="6"/>
      <c r="M862" s="6"/>
      <c r="N862" s="6"/>
      <c r="O862" s="6"/>
      <c r="P862" s="6"/>
    </row>
    <row r="863" spans="8:16" ht="14.25" customHeight="1" x14ac:dyDescent="0.15">
      <c r="H863" s="6"/>
      <c r="I863" s="6"/>
      <c r="J863" s="6"/>
      <c r="K863" s="6"/>
      <c r="L863" s="6"/>
      <c r="M863" s="6"/>
      <c r="N863" s="6"/>
      <c r="O863" s="6"/>
      <c r="P863" s="6"/>
    </row>
    <row r="864" spans="8:16" ht="14.25" customHeight="1" x14ac:dyDescent="0.15">
      <c r="H864" s="6"/>
      <c r="I864" s="6"/>
      <c r="J864" s="6"/>
      <c r="K864" s="6"/>
      <c r="L864" s="6"/>
      <c r="M864" s="6"/>
      <c r="N864" s="6"/>
      <c r="O864" s="6"/>
      <c r="P864" s="6"/>
    </row>
    <row r="865" spans="8:16" ht="14.25" customHeight="1" x14ac:dyDescent="0.15">
      <c r="H865" s="6"/>
      <c r="I865" s="6"/>
      <c r="J865" s="6"/>
      <c r="K865" s="6"/>
      <c r="L865" s="6"/>
      <c r="M865" s="6"/>
      <c r="N865" s="6"/>
      <c r="O865" s="6"/>
      <c r="P865" s="6"/>
    </row>
    <row r="866" spans="8:16" ht="14.25" customHeight="1" x14ac:dyDescent="0.15">
      <c r="H866" s="6"/>
      <c r="I866" s="6"/>
      <c r="J866" s="6"/>
      <c r="K866" s="6"/>
      <c r="L866" s="6"/>
      <c r="M866" s="6"/>
      <c r="N866" s="6"/>
      <c r="O866" s="6"/>
      <c r="P866" s="6"/>
    </row>
    <row r="867" spans="8:16" ht="14.25" customHeight="1" x14ac:dyDescent="0.15">
      <c r="H867" s="6"/>
      <c r="I867" s="6"/>
      <c r="J867" s="6"/>
      <c r="K867" s="6"/>
      <c r="L867" s="6"/>
      <c r="M867" s="6"/>
      <c r="N867" s="6"/>
      <c r="O867" s="6"/>
      <c r="P867" s="6"/>
    </row>
    <row r="868" spans="8:16" ht="14.25" customHeight="1" x14ac:dyDescent="0.15">
      <c r="H868" s="6"/>
      <c r="I868" s="6"/>
      <c r="J868" s="6"/>
      <c r="K868" s="6"/>
      <c r="L868" s="6"/>
      <c r="M868" s="6"/>
      <c r="N868" s="6"/>
      <c r="O868" s="6"/>
      <c r="P868" s="6"/>
    </row>
    <row r="869" spans="8:16" ht="14.25" customHeight="1" x14ac:dyDescent="0.15">
      <c r="H869" s="6"/>
      <c r="I869" s="6"/>
      <c r="J869" s="6"/>
      <c r="K869" s="6"/>
      <c r="L869" s="6"/>
      <c r="M869" s="6"/>
      <c r="N869" s="6"/>
      <c r="O869" s="6"/>
      <c r="P869" s="6"/>
    </row>
    <row r="870" spans="8:16" ht="14.25" customHeight="1" x14ac:dyDescent="0.15">
      <c r="H870" s="6"/>
      <c r="I870" s="6"/>
      <c r="J870" s="6"/>
      <c r="K870" s="6"/>
      <c r="L870" s="6"/>
      <c r="M870" s="6"/>
      <c r="N870" s="6"/>
      <c r="O870" s="6"/>
      <c r="P870" s="6"/>
    </row>
    <row r="871" spans="8:16" ht="14.25" customHeight="1" x14ac:dyDescent="0.15">
      <c r="H871" s="6"/>
      <c r="I871" s="6"/>
      <c r="J871" s="6"/>
      <c r="K871" s="6"/>
      <c r="L871" s="6"/>
      <c r="M871" s="6"/>
      <c r="N871" s="6"/>
      <c r="O871" s="6"/>
      <c r="P871" s="6"/>
    </row>
    <row r="872" spans="8:16" ht="14.25" customHeight="1" x14ac:dyDescent="0.15">
      <c r="H872" s="6"/>
      <c r="I872" s="6"/>
      <c r="J872" s="6"/>
      <c r="K872" s="6"/>
      <c r="L872" s="6"/>
      <c r="M872" s="6"/>
      <c r="N872" s="6"/>
      <c r="O872" s="6"/>
      <c r="P872" s="6"/>
    </row>
    <row r="873" spans="8:16" ht="14.25" customHeight="1" x14ac:dyDescent="0.15">
      <c r="H873" s="6"/>
      <c r="I873" s="6"/>
      <c r="J873" s="6"/>
      <c r="K873" s="6"/>
      <c r="L873" s="6"/>
      <c r="M873" s="6"/>
      <c r="N873" s="6"/>
      <c r="O873" s="6"/>
      <c r="P873" s="6"/>
    </row>
    <row r="874" spans="8:16" ht="14.25" customHeight="1" x14ac:dyDescent="0.15">
      <c r="H874" s="6"/>
      <c r="I874" s="6"/>
      <c r="J874" s="6"/>
      <c r="K874" s="6"/>
      <c r="L874" s="6"/>
      <c r="M874" s="6"/>
      <c r="N874" s="6"/>
      <c r="O874" s="6"/>
      <c r="P874" s="6"/>
    </row>
    <row r="875" spans="8:16" ht="14.25" customHeight="1" x14ac:dyDescent="0.15">
      <c r="H875" s="6"/>
      <c r="I875" s="6"/>
      <c r="J875" s="6"/>
      <c r="K875" s="6"/>
      <c r="L875" s="6"/>
      <c r="M875" s="6"/>
      <c r="N875" s="6"/>
      <c r="O875" s="6"/>
      <c r="P875" s="6"/>
    </row>
    <row r="876" spans="8:16" ht="14.25" customHeight="1" x14ac:dyDescent="0.15">
      <c r="H876" s="6"/>
      <c r="I876" s="6"/>
      <c r="J876" s="6"/>
      <c r="K876" s="6"/>
      <c r="L876" s="6"/>
      <c r="M876" s="6"/>
      <c r="N876" s="6"/>
      <c r="O876" s="6"/>
      <c r="P876" s="6"/>
    </row>
    <row r="877" spans="8:16" ht="14.25" customHeight="1" x14ac:dyDescent="0.15">
      <c r="H877" s="6"/>
      <c r="I877" s="6"/>
      <c r="J877" s="6"/>
      <c r="K877" s="6"/>
      <c r="L877" s="6"/>
      <c r="M877" s="6"/>
      <c r="N877" s="6"/>
      <c r="O877" s="6"/>
      <c r="P877" s="6"/>
    </row>
    <row r="878" spans="8:16" ht="14.25" customHeight="1" x14ac:dyDescent="0.15">
      <c r="H878" s="6"/>
      <c r="I878" s="6"/>
      <c r="J878" s="6"/>
      <c r="K878" s="6"/>
      <c r="L878" s="6"/>
      <c r="M878" s="6"/>
      <c r="N878" s="6"/>
      <c r="O878" s="6"/>
      <c r="P878" s="6"/>
    </row>
    <row r="879" spans="8:16" ht="14.25" customHeight="1" x14ac:dyDescent="0.15">
      <c r="H879" s="6"/>
      <c r="I879" s="6"/>
      <c r="J879" s="6"/>
      <c r="K879" s="6"/>
      <c r="L879" s="6"/>
      <c r="M879" s="6"/>
      <c r="N879" s="6"/>
      <c r="O879" s="6"/>
      <c r="P879" s="6"/>
    </row>
    <row r="880" spans="8:16" ht="14.25" customHeight="1" x14ac:dyDescent="0.15">
      <c r="H880" s="6"/>
      <c r="I880" s="6"/>
      <c r="J880" s="6"/>
      <c r="K880" s="6"/>
      <c r="L880" s="6"/>
      <c r="M880" s="6"/>
      <c r="N880" s="6"/>
      <c r="O880" s="6"/>
      <c r="P880" s="6"/>
    </row>
    <row r="881" spans="8:16" ht="14.25" customHeight="1" x14ac:dyDescent="0.15">
      <c r="H881" s="6"/>
      <c r="I881" s="6"/>
      <c r="J881" s="6"/>
      <c r="K881" s="6"/>
      <c r="L881" s="6"/>
      <c r="M881" s="6"/>
      <c r="N881" s="6"/>
      <c r="O881" s="6"/>
      <c r="P881" s="6"/>
    </row>
    <row r="882" spans="8:16" ht="14.25" customHeight="1" x14ac:dyDescent="0.15">
      <c r="H882" s="6"/>
      <c r="I882" s="6"/>
      <c r="J882" s="6"/>
      <c r="K882" s="6"/>
      <c r="L882" s="6"/>
      <c r="M882" s="6"/>
      <c r="N882" s="6"/>
      <c r="O882" s="6"/>
      <c r="P882" s="6"/>
    </row>
    <row r="883" spans="8:16" ht="14.25" customHeight="1" x14ac:dyDescent="0.15">
      <c r="H883" s="6"/>
      <c r="I883" s="6"/>
      <c r="J883" s="6"/>
      <c r="K883" s="6"/>
      <c r="L883" s="6"/>
      <c r="M883" s="6"/>
      <c r="N883" s="6"/>
      <c r="O883" s="6"/>
      <c r="P883" s="6"/>
    </row>
    <row r="884" spans="8:16" ht="14.25" customHeight="1" x14ac:dyDescent="0.15">
      <c r="H884" s="6"/>
      <c r="I884" s="6"/>
      <c r="J884" s="6"/>
      <c r="K884" s="6"/>
      <c r="L884" s="6"/>
      <c r="M884" s="6"/>
      <c r="N884" s="6"/>
      <c r="O884" s="6"/>
      <c r="P884" s="6"/>
    </row>
    <row r="885" spans="8:16" ht="14.25" customHeight="1" x14ac:dyDescent="0.15">
      <c r="H885" s="6"/>
      <c r="I885" s="6"/>
      <c r="J885" s="6"/>
      <c r="K885" s="6"/>
      <c r="L885" s="6"/>
      <c r="M885" s="6"/>
      <c r="N885" s="6"/>
      <c r="O885" s="6"/>
      <c r="P885" s="6"/>
    </row>
    <row r="886" spans="8:16" ht="14.25" customHeight="1" x14ac:dyDescent="0.15">
      <c r="H886" s="6"/>
      <c r="I886" s="6"/>
      <c r="J886" s="6"/>
      <c r="K886" s="6"/>
      <c r="L886" s="6"/>
      <c r="M886" s="6"/>
      <c r="N886" s="6"/>
      <c r="O886" s="6"/>
      <c r="P886" s="6"/>
    </row>
    <row r="887" spans="8:16" ht="14.25" customHeight="1" x14ac:dyDescent="0.15">
      <c r="H887" s="6"/>
      <c r="I887" s="6"/>
      <c r="J887" s="6"/>
      <c r="K887" s="6"/>
      <c r="L887" s="6"/>
      <c r="M887" s="6"/>
      <c r="N887" s="6"/>
      <c r="O887" s="6"/>
      <c r="P887" s="6"/>
    </row>
    <row r="888" spans="8:16" ht="14.25" customHeight="1" x14ac:dyDescent="0.15">
      <c r="H888" s="6"/>
      <c r="I888" s="6"/>
      <c r="J888" s="6"/>
      <c r="K888" s="6"/>
      <c r="L888" s="6"/>
      <c r="M888" s="6"/>
      <c r="N888" s="6"/>
      <c r="O888" s="6"/>
      <c r="P888" s="6"/>
    </row>
    <row r="889" spans="8:16" ht="14.25" customHeight="1" x14ac:dyDescent="0.15">
      <c r="H889" s="6"/>
      <c r="I889" s="6"/>
      <c r="J889" s="6"/>
      <c r="K889" s="6"/>
      <c r="L889" s="6"/>
      <c r="M889" s="6"/>
      <c r="N889" s="6"/>
      <c r="O889" s="6"/>
      <c r="P889" s="6"/>
    </row>
    <row r="890" spans="8:16" ht="14.25" customHeight="1" x14ac:dyDescent="0.15">
      <c r="H890" s="6"/>
      <c r="I890" s="6"/>
      <c r="J890" s="6"/>
      <c r="K890" s="6"/>
      <c r="L890" s="6"/>
      <c r="M890" s="6"/>
      <c r="N890" s="6"/>
      <c r="O890" s="6"/>
      <c r="P890" s="6"/>
    </row>
    <row r="891" spans="8:16" ht="14.25" customHeight="1" x14ac:dyDescent="0.15">
      <c r="H891" s="6"/>
      <c r="I891" s="6"/>
      <c r="J891" s="6"/>
      <c r="K891" s="6"/>
      <c r="L891" s="6"/>
      <c r="M891" s="6"/>
      <c r="N891" s="6"/>
      <c r="O891" s="6"/>
      <c r="P891" s="6"/>
    </row>
    <row r="892" spans="8:16" ht="14.25" customHeight="1" x14ac:dyDescent="0.15">
      <c r="H892" s="6"/>
      <c r="I892" s="6"/>
      <c r="J892" s="6"/>
      <c r="K892" s="6"/>
      <c r="L892" s="6"/>
      <c r="M892" s="6"/>
      <c r="N892" s="6"/>
      <c r="O892" s="6"/>
      <c r="P892" s="6"/>
    </row>
    <row r="893" spans="8:16" ht="14.25" customHeight="1" x14ac:dyDescent="0.15">
      <c r="H893" s="6"/>
      <c r="I893" s="6"/>
      <c r="J893" s="6"/>
      <c r="K893" s="6"/>
      <c r="L893" s="6"/>
      <c r="M893" s="6"/>
      <c r="N893" s="6"/>
      <c r="O893" s="6"/>
      <c r="P893" s="6"/>
    </row>
    <row r="894" spans="8:16" ht="14.25" customHeight="1" x14ac:dyDescent="0.15">
      <c r="H894" s="6"/>
      <c r="I894" s="6"/>
      <c r="J894" s="6"/>
      <c r="K894" s="6"/>
      <c r="L894" s="6"/>
      <c r="M894" s="6"/>
      <c r="N894" s="6"/>
      <c r="O894" s="6"/>
      <c r="P894" s="6"/>
    </row>
    <row r="895" spans="8:16" ht="14.25" customHeight="1" x14ac:dyDescent="0.15">
      <c r="H895" s="6"/>
      <c r="I895" s="6"/>
      <c r="J895" s="6"/>
      <c r="K895" s="6"/>
      <c r="L895" s="6"/>
      <c r="M895" s="6"/>
      <c r="N895" s="6"/>
      <c r="O895" s="6"/>
      <c r="P895" s="6"/>
    </row>
    <row r="896" spans="8:16" ht="14.25" customHeight="1" x14ac:dyDescent="0.15">
      <c r="H896" s="6"/>
      <c r="I896" s="6"/>
      <c r="J896" s="6"/>
      <c r="K896" s="6"/>
      <c r="L896" s="6"/>
      <c r="M896" s="6"/>
      <c r="N896" s="6"/>
      <c r="O896" s="6"/>
      <c r="P896" s="6"/>
    </row>
    <row r="897" spans="8:16" ht="14.25" customHeight="1" x14ac:dyDescent="0.15">
      <c r="H897" s="6"/>
      <c r="I897" s="6"/>
      <c r="J897" s="6"/>
      <c r="K897" s="6"/>
      <c r="L897" s="6"/>
      <c r="M897" s="6"/>
      <c r="N897" s="6"/>
      <c r="O897" s="6"/>
      <c r="P897" s="6"/>
    </row>
    <row r="898" spans="8:16" ht="14.25" customHeight="1" x14ac:dyDescent="0.15">
      <c r="H898" s="6"/>
      <c r="I898" s="6"/>
      <c r="J898" s="6"/>
      <c r="K898" s="6"/>
      <c r="L898" s="6"/>
      <c r="M898" s="6"/>
      <c r="N898" s="6"/>
      <c r="O898" s="6"/>
      <c r="P898" s="6"/>
    </row>
    <row r="899" spans="8:16" ht="14.25" customHeight="1" x14ac:dyDescent="0.15">
      <c r="H899" s="6"/>
      <c r="I899" s="6"/>
      <c r="J899" s="6"/>
      <c r="K899" s="6"/>
      <c r="L899" s="6"/>
      <c r="M899" s="6"/>
      <c r="N899" s="6"/>
      <c r="O899" s="6"/>
      <c r="P899" s="6"/>
    </row>
    <row r="900" spans="8:16" ht="14.25" customHeight="1" x14ac:dyDescent="0.15">
      <c r="H900" s="6"/>
      <c r="I900" s="6"/>
      <c r="J900" s="6"/>
      <c r="K900" s="6"/>
      <c r="L900" s="6"/>
      <c r="M900" s="6"/>
      <c r="N900" s="6"/>
      <c r="O900" s="6"/>
      <c r="P900" s="6"/>
    </row>
    <row r="901" spans="8:16" ht="14.25" customHeight="1" x14ac:dyDescent="0.15">
      <c r="H901" s="6"/>
      <c r="I901" s="6"/>
      <c r="J901" s="6"/>
      <c r="K901" s="6"/>
      <c r="L901" s="6"/>
      <c r="M901" s="6"/>
      <c r="N901" s="6"/>
      <c r="O901" s="6"/>
      <c r="P901" s="6"/>
    </row>
    <row r="902" spans="8:16" ht="14.25" customHeight="1" x14ac:dyDescent="0.15">
      <c r="H902" s="6"/>
      <c r="I902" s="6"/>
      <c r="J902" s="6"/>
      <c r="K902" s="6"/>
      <c r="L902" s="6"/>
      <c r="M902" s="6"/>
      <c r="N902" s="6"/>
      <c r="O902" s="6"/>
      <c r="P902" s="6"/>
    </row>
    <row r="903" spans="8:16" ht="14.25" customHeight="1" x14ac:dyDescent="0.15">
      <c r="H903" s="6"/>
      <c r="I903" s="6"/>
      <c r="J903" s="6"/>
      <c r="K903" s="6"/>
      <c r="L903" s="6"/>
      <c r="M903" s="6"/>
      <c r="N903" s="6"/>
      <c r="O903" s="6"/>
      <c r="P903" s="6"/>
    </row>
    <row r="904" spans="8:16" ht="14.25" customHeight="1" x14ac:dyDescent="0.15">
      <c r="H904" s="6"/>
      <c r="I904" s="6"/>
      <c r="J904" s="6"/>
      <c r="K904" s="6"/>
      <c r="L904" s="6"/>
      <c r="M904" s="6"/>
      <c r="N904" s="6"/>
      <c r="O904" s="6"/>
      <c r="P904" s="6"/>
    </row>
    <row r="905" spans="8:16" ht="14.25" customHeight="1" x14ac:dyDescent="0.15">
      <c r="H905" s="6"/>
      <c r="I905" s="6"/>
      <c r="J905" s="6"/>
      <c r="K905" s="6"/>
      <c r="L905" s="6"/>
      <c r="M905" s="6"/>
      <c r="N905" s="6"/>
      <c r="O905" s="6"/>
      <c r="P905" s="6"/>
    </row>
    <row r="906" spans="8:16" ht="14.25" customHeight="1" x14ac:dyDescent="0.15">
      <c r="H906" s="6"/>
      <c r="I906" s="6"/>
      <c r="J906" s="6"/>
      <c r="K906" s="6"/>
      <c r="L906" s="6"/>
      <c r="M906" s="6"/>
      <c r="N906" s="6"/>
      <c r="O906" s="6"/>
      <c r="P906" s="6"/>
    </row>
    <row r="907" spans="8:16" ht="14.25" customHeight="1" x14ac:dyDescent="0.15">
      <c r="H907" s="6"/>
      <c r="I907" s="6"/>
      <c r="J907" s="6"/>
      <c r="K907" s="6"/>
      <c r="L907" s="6"/>
      <c r="M907" s="6"/>
      <c r="N907" s="6"/>
      <c r="O907" s="6"/>
      <c r="P907" s="6"/>
    </row>
    <row r="908" spans="8:16" ht="14.25" customHeight="1" x14ac:dyDescent="0.15">
      <c r="H908" s="6"/>
      <c r="I908" s="6"/>
      <c r="J908" s="6"/>
      <c r="K908" s="6"/>
      <c r="L908" s="6"/>
      <c r="M908" s="6"/>
      <c r="N908" s="6"/>
      <c r="O908" s="6"/>
      <c r="P908" s="6"/>
    </row>
    <row r="909" spans="8:16" ht="14.25" customHeight="1" x14ac:dyDescent="0.15">
      <c r="H909" s="6"/>
      <c r="I909" s="6"/>
      <c r="J909" s="6"/>
      <c r="K909" s="6"/>
      <c r="L909" s="6"/>
      <c r="M909" s="6"/>
      <c r="N909" s="6"/>
      <c r="O909" s="6"/>
      <c r="P909" s="6"/>
    </row>
    <row r="910" spans="8:16" ht="14.25" customHeight="1" x14ac:dyDescent="0.15">
      <c r="H910" s="6"/>
      <c r="I910" s="6"/>
      <c r="J910" s="6"/>
      <c r="K910" s="6"/>
      <c r="L910" s="6"/>
      <c r="M910" s="6"/>
      <c r="N910" s="6"/>
      <c r="O910" s="6"/>
      <c r="P910" s="6"/>
    </row>
    <row r="911" spans="8:16" ht="14.25" customHeight="1" x14ac:dyDescent="0.15">
      <c r="H911" s="6"/>
      <c r="I911" s="6"/>
      <c r="J911" s="6"/>
      <c r="K911" s="6"/>
      <c r="L911" s="6"/>
      <c r="M911" s="6"/>
      <c r="N911" s="6"/>
      <c r="O911" s="6"/>
      <c r="P911" s="6"/>
    </row>
    <row r="912" spans="8:16" ht="14.25" customHeight="1" x14ac:dyDescent="0.15">
      <c r="H912" s="6"/>
      <c r="I912" s="6"/>
      <c r="J912" s="6"/>
      <c r="K912" s="6"/>
      <c r="L912" s="6"/>
      <c r="M912" s="6"/>
      <c r="N912" s="6"/>
      <c r="O912" s="6"/>
      <c r="P912" s="6"/>
    </row>
    <row r="913" spans="8:16" ht="14.25" customHeight="1" x14ac:dyDescent="0.15">
      <c r="H913" s="6"/>
      <c r="I913" s="6"/>
      <c r="J913" s="6"/>
      <c r="K913" s="6"/>
      <c r="L913" s="6"/>
      <c r="M913" s="6"/>
      <c r="N913" s="6"/>
      <c r="O913" s="6"/>
      <c r="P913" s="6"/>
    </row>
    <row r="914" spans="8:16" ht="14.25" customHeight="1" x14ac:dyDescent="0.15">
      <c r="H914" s="6"/>
      <c r="I914" s="6"/>
      <c r="J914" s="6"/>
      <c r="K914" s="6"/>
      <c r="L914" s="6"/>
      <c r="M914" s="6"/>
      <c r="N914" s="6"/>
      <c r="O914" s="6"/>
      <c r="P914" s="6"/>
    </row>
    <row r="915" spans="8:16" ht="14.25" customHeight="1" x14ac:dyDescent="0.15">
      <c r="H915" s="6"/>
      <c r="I915" s="6"/>
      <c r="J915" s="6"/>
      <c r="K915" s="6"/>
      <c r="L915" s="6"/>
      <c r="M915" s="6"/>
      <c r="N915" s="6"/>
      <c r="O915" s="6"/>
      <c r="P915" s="6"/>
    </row>
    <row r="916" spans="8:16" ht="14.25" customHeight="1" x14ac:dyDescent="0.15">
      <c r="H916" s="6"/>
      <c r="I916" s="6"/>
      <c r="J916" s="6"/>
      <c r="K916" s="6"/>
      <c r="L916" s="6"/>
      <c r="M916" s="6"/>
      <c r="N916" s="6"/>
      <c r="O916" s="6"/>
      <c r="P916" s="6"/>
    </row>
    <row r="917" spans="8:16" ht="14.25" customHeight="1" x14ac:dyDescent="0.15">
      <c r="H917" s="6"/>
      <c r="I917" s="6"/>
      <c r="J917" s="6"/>
      <c r="K917" s="6"/>
      <c r="L917" s="6"/>
      <c r="M917" s="6"/>
      <c r="N917" s="6"/>
      <c r="O917" s="6"/>
      <c r="P917" s="6"/>
    </row>
    <row r="918" spans="8:16" ht="14.25" customHeight="1" x14ac:dyDescent="0.15">
      <c r="H918" s="6"/>
      <c r="I918" s="6"/>
      <c r="J918" s="6"/>
      <c r="K918" s="6"/>
      <c r="L918" s="6"/>
      <c r="M918" s="6"/>
      <c r="N918" s="6"/>
      <c r="O918" s="6"/>
      <c r="P918" s="6"/>
    </row>
    <row r="919" spans="8:16" ht="14.25" customHeight="1" x14ac:dyDescent="0.15">
      <c r="H919" s="6"/>
      <c r="I919" s="6"/>
      <c r="J919" s="6"/>
      <c r="K919" s="6"/>
      <c r="L919" s="6"/>
      <c r="M919" s="6"/>
      <c r="N919" s="6"/>
      <c r="O919" s="6"/>
      <c r="P919" s="6"/>
    </row>
    <row r="920" spans="8:16" ht="14.25" customHeight="1" x14ac:dyDescent="0.15">
      <c r="H920" s="6"/>
      <c r="I920" s="6"/>
      <c r="J920" s="6"/>
      <c r="K920" s="6"/>
      <c r="L920" s="6"/>
      <c r="M920" s="6"/>
      <c r="N920" s="6"/>
      <c r="O920" s="6"/>
      <c r="P920" s="6"/>
    </row>
    <row r="921" spans="8:16" ht="14.25" customHeight="1" x14ac:dyDescent="0.15">
      <c r="H921" s="6"/>
      <c r="I921" s="6"/>
      <c r="J921" s="6"/>
      <c r="K921" s="6"/>
      <c r="L921" s="6"/>
      <c r="M921" s="6"/>
      <c r="N921" s="6"/>
      <c r="O921" s="6"/>
      <c r="P921" s="6"/>
    </row>
    <row r="922" spans="8:16" ht="14.25" customHeight="1" x14ac:dyDescent="0.15">
      <c r="H922" s="6"/>
      <c r="I922" s="6"/>
      <c r="J922" s="6"/>
      <c r="K922" s="6"/>
      <c r="L922" s="6"/>
      <c r="M922" s="6"/>
      <c r="N922" s="6"/>
      <c r="O922" s="6"/>
      <c r="P922" s="6"/>
    </row>
    <row r="923" spans="8:16" ht="14.25" customHeight="1" x14ac:dyDescent="0.15">
      <c r="H923" s="6"/>
      <c r="I923" s="6"/>
      <c r="J923" s="6"/>
      <c r="K923" s="6"/>
      <c r="L923" s="6"/>
      <c r="M923" s="6"/>
      <c r="N923" s="6"/>
      <c r="O923" s="6"/>
      <c r="P923" s="6"/>
    </row>
    <row r="924" spans="8:16" ht="14.25" customHeight="1" x14ac:dyDescent="0.15">
      <c r="H924" s="6"/>
      <c r="I924" s="6"/>
      <c r="J924" s="6"/>
      <c r="K924" s="6"/>
      <c r="L924" s="6"/>
      <c r="M924" s="6"/>
      <c r="N924" s="6"/>
      <c r="O924" s="6"/>
      <c r="P924" s="6"/>
    </row>
    <row r="925" spans="8:16" ht="14.25" customHeight="1" x14ac:dyDescent="0.15">
      <c r="H925" s="6"/>
      <c r="I925" s="6"/>
      <c r="J925" s="6"/>
      <c r="K925" s="6"/>
      <c r="L925" s="6"/>
      <c r="M925" s="6"/>
      <c r="N925" s="6"/>
      <c r="O925" s="6"/>
      <c r="P925" s="6"/>
    </row>
    <row r="926" spans="8:16" ht="14.25" customHeight="1" x14ac:dyDescent="0.15">
      <c r="H926" s="6"/>
      <c r="I926" s="6"/>
      <c r="J926" s="6"/>
      <c r="K926" s="6"/>
      <c r="L926" s="6"/>
      <c r="M926" s="6"/>
      <c r="N926" s="6"/>
      <c r="O926" s="6"/>
      <c r="P926" s="6"/>
    </row>
    <row r="927" spans="8:16" ht="14.25" customHeight="1" x14ac:dyDescent="0.15">
      <c r="H927" s="6"/>
      <c r="I927" s="6"/>
      <c r="J927" s="6"/>
      <c r="K927" s="6"/>
      <c r="L927" s="6"/>
      <c r="M927" s="6"/>
      <c r="N927" s="6"/>
      <c r="O927" s="6"/>
      <c r="P927" s="6"/>
    </row>
    <row r="928" spans="8:16" ht="14.25" customHeight="1" x14ac:dyDescent="0.15">
      <c r="H928" s="6"/>
      <c r="I928" s="6"/>
      <c r="J928" s="6"/>
      <c r="K928" s="6"/>
      <c r="L928" s="6"/>
      <c r="M928" s="6"/>
      <c r="N928" s="6"/>
      <c r="O928" s="6"/>
      <c r="P928" s="6"/>
    </row>
    <row r="929" spans="8:16" ht="14.25" customHeight="1" x14ac:dyDescent="0.15">
      <c r="H929" s="6"/>
      <c r="I929" s="6"/>
      <c r="J929" s="6"/>
      <c r="K929" s="6"/>
      <c r="L929" s="6"/>
      <c r="M929" s="6"/>
      <c r="N929" s="6"/>
      <c r="O929" s="6"/>
      <c r="P929" s="6"/>
    </row>
    <row r="930" spans="8:16" ht="14.25" customHeight="1" x14ac:dyDescent="0.15">
      <c r="H930" s="6"/>
      <c r="I930" s="6"/>
      <c r="J930" s="6"/>
      <c r="K930" s="6"/>
      <c r="L930" s="6"/>
      <c r="M930" s="6"/>
      <c r="N930" s="6"/>
      <c r="O930" s="6"/>
      <c r="P930" s="6"/>
    </row>
    <row r="931" spans="8:16" ht="14.25" customHeight="1" x14ac:dyDescent="0.15">
      <c r="H931" s="6"/>
      <c r="I931" s="6"/>
      <c r="J931" s="6"/>
      <c r="K931" s="6"/>
      <c r="L931" s="6"/>
      <c r="M931" s="6"/>
      <c r="N931" s="6"/>
      <c r="O931" s="6"/>
      <c r="P931" s="6"/>
    </row>
    <row r="932" spans="8:16" ht="14.25" customHeight="1" x14ac:dyDescent="0.15">
      <c r="H932" s="6"/>
      <c r="I932" s="6"/>
      <c r="J932" s="6"/>
      <c r="K932" s="6"/>
      <c r="L932" s="6"/>
      <c r="M932" s="6"/>
      <c r="N932" s="6"/>
      <c r="O932" s="6"/>
      <c r="P932" s="6"/>
    </row>
    <row r="933" spans="8:16" ht="14.25" customHeight="1" x14ac:dyDescent="0.15">
      <c r="H933" s="6"/>
      <c r="I933" s="6"/>
      <c r="J933" s="6"/>
      <c r="K933" s="6"/>
      <c r="L933" s="6"/>
      <c r="M933" s="6"/>
      <c r="N933" s="6"/>
      <c r="O933" s="6"/>
      <c r="P933" s="6"/>
    </row>
    <row r="934" spans="8:16" ht="14.25" customHeight="1" x14ac:dyDescent="0.15">
      <c r="H934" s="6"/>
      <c r="I934" s="6"/>
      <c r="J934" s="6"/>
      <c r="K934" s="6"/>
      <c r="L934" s="6"/>
      <c r="M934" s="6"/>
      <c r="N934" s="6"/>
      <c r="O934" s="6"/>
      <c r="P934" s="6"/>
    </row>
    <row r="935" spans="8:16" ht="14.25" customHeight="1" x14ac:dyDescent="0.15">
      <c r="H935" s="6"/>
      <c r="I935" s="6"/>
      <c r="J935" s="6"/>
      <c r="K935" s="6"/>
      <c r="L935" s="6"/>
      <c r="M935" s="6"/>
      <c r="N935" s="6"/>
      <c r="O935" s="6"/>
      <c r="P935" s="6"/>
    </row>
    <row r="936" spans="8:16" ht="14.25" customHeight="1" x14ac:dyDescent="0.15">
      <c r="H936" s="6"/>
      <c r="I936" s="6"/>
      <c r="J936" s="6"/>
      <c r="K936" s="6"/>
      <c r="L936" s="6"/>
      <c r="M936" s="6"/>
      <c r="N936" s="6"/>
      <c r="O936" s="6"/>
      <c r="P936" s="6"/>
    </row>
    <row r="937" spans="8:16" ht="14.25" customHeight="1" x14ac:dyDescent="0.15">
      <c r="H937" s="6"/>
      <c r="I937" s="6"/>
      <c r="J937" s="6"/>
      <c r="K937" s="6"/>
      <c r="L937" s="6"/>
      <c r="M937" s="6"/>
      <c r="N937" s="6"/>
      <c r="O937" s="6"/>
      <c r="P937" s="6"/>
    </row>
    <row r="938" spans="8:16" ht="14.25" customHeight="1" x14ac:dyDescent="0.15">
      <c r="H938" s="6"/>
      <c r="I938" s="6"/>
      <c r="J938" s="6"/>
      <c r="K938" s="6"/>
      <c r="L938" s="6"/>
      <c r="M938" s="6"/>
      <c r="N938" s="6"/>
      <c r="O938" s="6"/>
      <c r="P938" s="6"/>
    </row>
    <row r="939" spans="8:16" ht="14.25" customHeight="1" x14ac:dyDescent="0.15">
      <c r="H939" s="6"/>
      <c r="I939" s="6"/>
      <c r="J939" s="6"/>
      <c r="K939" s="6"/>
      <c r="L939" s="6"/>
      <c r="M939" s="6"/>
      <c r="N939" s="6"/>
      <c r="O939" s="6"/>
      <c r="P939" s="6"/>
    </row>
    <row r="940" spans="8:16" ht="14.25" customHeight="1" x14ac:dyDescent="0.15">
      <c r="H940" s="6"/>
      <c r="I940" s="6"/>
      <c r="J940" s="6"/>
      <c r="K940" s="6"/>
      <c r="L940" s="6"/>
      <c r="M940" s="6"/>
      <c r="N940" s="6"/>
      <c r="O940" s="6"/>
      <c r="P940" s="6"/>
    </row>
    <row r="941" spans="8:16" ht="14.25" customHeight="1" x14ac:dyDescent="0.15">
      <c r="H941" s="6"/>
      <c r="I941" s="6"/>
      <c r="J941" s="6"/>
      <c r="K941" s="6"/>
      <c r="L941" s="6"/>
      <c r="M941" s="6"/>
      <c r="N941" s="6"/>
      <c r="O941" s="6"/>
      <c r="P941" s="6"/>
    </row>
    <row r="942" spans="8:16" ht="14.25" customHeight="1" x14ac:dyDescent="0.15">
      <c r="H942" s="6"/>
      <c r="I942" s="6"/>
      <c r="J942" s="6"/>
      <c r="K942" s="6"/>
      <c r="L942" s="6"/>
      <c r="M942" s="6"/>
      <c r="N942" s="6"/>
      <c r="O942" s="6"/>
      <c r="P942" s="6"/>
    </row>
    <row r="943" spans="8:16" ht="14.25" customHeight="1" x14ac:dyDescent="0.15">
      <c r="H943" s="6"/>
      <c r="I943" s="6"/>
      <c r="J943" s="6"/>
      <c r="K943" s="6"/>
      <c r="L943" s="6"/>
      <c r="M943" s="6"/>
      <c r="N943" s="6"/>
      <c r="O943" s="6"/>
      <c r="P943" s="6"/>
    </row>
    <row r="944" spans="8:16" ht="14.25" customHeight="1" x14ac:dyDescent="0.15">
      <c r="H944" s="6"/>
      <c r="I944" s="6"/>
      <c r="J944" s="6"/>
      <c r="K944" s="6"/>
      <c r="L944" s="6"/>
      <c r="M944" s="6"/>
      <c r="N944" s="6"/>
      <c r="O944" s="6"/>
      <c r="P944" s="6"/>
    </row>
    <row r="945" spans="8:16" ht="14.25" customHeight="1" x14ac:dyDescent="0.15">
      <c r="H945" s="6"/>
      <c r="I945" s="6"/>
      <c r="J945" s="6"/>
      <c r="K945" s="6"/>
      <c r="L945" s="6"/>
      <c r="M945" s="6"/>
      <c r="N945" s="6"/>
      <c r="O945" s="6"/>
      <c r="P945" s="6"/>
    </row>
    <row r="946" spans="8:16" ht="14.25" customHeight="1" x14ac:dyDescent="0.15">
      <c r="H946" s="6"/>
      <c r="I946" s="6"/>
      <c r="J946" s="6"/>
      <c r="K946" s="6"/>
      <c r="L946" s="6"/>
      <c r="M946" s="6"/>
      <c r="N946" s="6"/>
      <c r="O946" s="6"/>
      <c r="P946" s="6"/>
    </row>
    <row r="947" spans="8:16" ht="14.25" customHeight="1" x14ac:dyDescent="0.15">
      <c r="H947" s="6"/>
      <c r="I947" s="6"/>
      <c r="J947" s="6"/>
      <c r="K947" s="6"/>
      <c r="L947" s="6"/>
      <c r="M947" s="6"/>
      <c r="N947" s="6"/>
      <c r="O947" s="6"/>
      <c r="P947" s="6"/>
    </row>
    <row r="948" spans="8:16" ht="14.25" customHeight="1" x14ac:dyDescent="0.15">
      <c r="H948" s="6"/>
      <c r="I948" s="6"/>
      <c r="J948" s="6"/>
      <c r="K948" s="6"/>
      <c r="L948" s="6"/>
      <c r="M948" s="6"/>
      <c r="N948" s="6"/>
      <c r="O948" s="6"/>
      <c r="P948" s="6"/>
    </row>
    <row r="949" spans="8:16" ht="14.25" customHeight="1" x14ac:dyDescent="0.15">
      <c r="H949" s="6"/>
      <c r="I949" s="6"/>
      <c r="J949" s="6"/>
      <c r="K949" s="6"/>
      <c r="L949" s="6"/>
      <c r="M949" s="6"/>
      <c r="N949" s="6"/>
      <c r="O949" s="6"/>
      <c r="P949" s="6"/>
    </row>
    <row r="950" spans="8:16" ht="14.25" customHeight="1" x14ac:dyDescent="0.15">
      <c r="H950" s="6"/>
      <c r="I950" s="6"/>
      <c r="J950" s="6"/>
      <c r="K950" s="6"/>
      <c r="L950" s="6"/>
      <c r="M950" s="6"/>
      <c r="N950" s="6"/>
      <c r="O950" s="6"/>
      <c r="P950" s="6"/>
    </row>
    <row r="951" spans="8:16" ht="14.25" customHeight="1" x14ac:dyDescent="0.15">
      <c r="H951" s="6"/>
      <c r="I951" s="6"/>
      <c r="J951" s="6"/>
      <c r="K951" s="6"/>
      <c r="L951" s="6"/>
      <c r="M951" s="6"/>
      <c r="N951" s="6"/>
      <c r="O951" s="6"/>
      <c r="P951" s="6"/>
    </row>
    <row r="952" spans="8:16" ht="14.25" customHeight="1" x14ac:dyDescent="0.15">
      <c r="H952" s="6"/>
      <c r="I952" s="6"/>
      <c r="J952" s="6"/>
      <c r="K952" s="6"/>
      <c r="L952" s="6"/>
      <c r="M952" s="6"/>
      <c r="N952" s="6"/>
      <c r="O952" s="6"/>
      <c r="P952" s="6"/>
    </row>
    <row r="953" spans="8:16" ht="14.25" customHeight="1" x14ac:dyDescent="0.15">
      <c r="H953" s="6"/>
      <c r="I953" s="6"/>
      <c r="J953" s="6"/>
      <c r="K953" s="6"/>
      <c r="L953" s="6"/>
      <c r="M953" s="6"/>
      <c r="N953" s="6"/>
      <c r="O953" s="6"/>
      <c r="P953" s="6"/>
    </row>
    <row r="954" spans="8:16" ht="14.25" customHeight="1" x14ac:dyDescent="0.15">
      <c r="H954" s="6"/>
      <c r="I954" s="6"/>
      <c r="J954" s="6"/>
      <c r="K954" s="6"/>
      <c r="L954" s="6"/>
      <c r="M954" s="6"/>
      <c r="N954" s="6"/>
      <c r="O954" s="6"/>
      <c r="P954" s="6"/>
    </row>
    <row r="955" spans="8:16" ht="14.25" customHeight="1" x14ac:dyDescent="0.15">
      <c r="H955" s="6"/>
      <c r="I955" s="6"/>
      <c r="J955" s="6"/>
      <c r="K955" s="6"/>
      <c r="L955" s="6"/>
      <c r="M955" s="6"/>
      <c r="N955" s="6"/>
      <c r="O955" s="6"/>
      <c r="P955" s="6"/>
    </row>
    <row r="956" spans="8:16" ht="14.25" customHeight="1" x14ac:dyDescent="0.15">
      <c r="H956" s="6"/>
      <c r="I956" s="6"/>
      <c r="J956" s="6"/>
      <c r="K956" s="6"/>
      <c r="L956" s="6"/>
      <c r="M956" s="6"/>
      <c r="N956" s="6"/>
      <c r="O956" s="6"/>
      <c r="P956" s="6"/>
    </row>
    <row r="957" spans="8:16" ht="14.25" customHeight="1" x14ac:dyDescent="0.15">
      <c r="H957" s="6"/>
      <c r="I957" s="6"/>
      <c r="J957" s="6"/>
      <c r="K957" s="6"/>
      <c r="L957" s="6"/>
      <c r="M957" s="6"/>
      <c r="N957" s="6"/>
      <c r="O957" s="6"/>
      <c r="P957" s="6"/>
    </row>
    <row r="958" spans="8:16" ht="14.25" customHeight="1" x14ac:dyDescent="0.15">
      <c r="H958" s="6"/>
      <c r="I958" s="6"/>
      <c r="J958" s="6"/>
      <c r="K958" s="6"/>
      <c r="L958" s="6"/>
      <c r="M958" s="6"/>
      <c r="N958" s="6"/>
      <c r="O958" s="6"/>
      <c r="P958" s="6"/>
    </row>
    <row r="959" spans="8:16" ht="14.25" customHeight="1" x14ac:dyDescent="0.15">
      <c r="H959" s="6"/>
      <c r="I959" s="6"/>
      <c r="J959" s="6"/>
      <c r="K959" s="6"/>
      <c r="L959" s="6"/>
      <c r="M959" s="6"/>
      <c r="N959" s="6"/>
      <c r="O959" s="6"/>
      <c r="P959" s="6"/>
    </row>
    <row r="960" spans="8:16" ht="14.25" customHeight="1" x14ac:dyDescent="0.15">
      <c r="H960" s="6"/>
      <c r="I960" s="6"/>
      <c r="J960" s="6"/>
      <c r="K960" s="6"/>
      <c r="L960" s="6"/>
      <c r="M960" s="6"/>
      <c r="N960" s="6"/>
      <c r="O960" s="6"/>
      <c r="P960" s="6"/>
    </row>
    <row r="961" spans="8:16" ht="14.25" customHeight="1" x14ac:dyDescent="0.15">
      <c r="H961" s="6"/>
      <c r="I961" s="6"/>
      <c r="J961" s="6"/>
      <c r="K961" s="6"/>
      <c r="L961" s="6"/>
      <c r="M961" s="6"/>
      <c r="N961" s="6"/>
      <c r="O961" s="6"/>
      <c r="P961" s="6"/>
    </row>
    <row r="962" spans="8:16" ht="14.25" customHeight="1" x14ac:dyDescent="0.15">
      <c r="H962" s="6"/>
      <c r="I962" s="6"/>
      <c r="J962" s="6"/>
      <c r="K962" s="6"/>
      <c r="L962" s="6"/>
      <c r="M962" s="6"/>
      <c r="N962" s="6"/>
      <c r="O962" s="6"/>
      <c r="P962" s="6"/>
    </row>
    <row r="963" spans="8:16" ht="14.25" customHeight="1" x14ac:dyDescent="0.15">
      <c r="H963" s="6"/>
      <c r="I963" s="6"/>
      <c r="J963" s="6"/>
      <c r="K963" s="6"/>
      <c r="L963" s="6"/>
      <c r="M963" s="6"/>
      <c r="N963" s="6"/>
      <c r="O963" s="6"/>
      <c r="P963" s="6"/>
    </row>
    <row r="964" spans="8:16" ht="14.25" customHeight="1" x14ac:dyDescent="0.15">
      <c r="H964" s="6"/>
      <c r="I964" s="6"/>
      <c r="J964" s="6"/>
      <c r="K964" s="6"/>
      <c r="L964" s="6"/>
      <c r="M964" s="6"/>
      <c r="N964" s="6"/>
      <c r="O964" s="6"/>
      <c r="P964" s="6"/>
    </row>
    <row r="965" spans="8:16" ht="14.25" customHeight="1" x14ac:dyDescent="0.15">
      <c r="H965" s="6"/>
      <c r="I965" s="6"/>
      <c r="J965" s="6"/>
      <c r="K965" s="6"/>
      <c r="L965" s="6"/>
      <c r="M965" s="6"/>
      <c r="N965" s="6"/>
      <c r="O965" s="6"/>
      <c r="P965" s="6"/>
    </row>
    <row r="966" spans="8:16" ht="14.25" customHeight="1" x14ac:dyDescent="0.15">
      <c r="H966" s="6"/>
      <c r="I966" s="6"/>
      <c r="J966" s="6"/>
      <c r="K966" s="6"/>
      <c r="L966" s="6"/>
      <c r="M966" s="6"/>
      <c r="N966" s="6"/>
      <c r="O966" s="6"/>
      <c r="P966" s="6"/>
    </row>
    <row r="967" spans="8:16" ht="14.25" customHeight="1" x14ac:dyDescent="0.15">
      <c r="H967" s="6"/>
      <c r="I967" s="6"/>
      <c r="J967" s="6"/>
      <c r="K967" s="6"/>
      <c r="L967" s="6"/>
      <c r="M967" s="6"/>
      <c r="N967" s="6"/>
      <c r="O967" s="6"/>
      <c r="P967" s="6"/>
    </row>
    <row r="968" spans="8:16" ht="14.25" customHeight="1" x14ac:dyDescent="0.15">
      <c r="H968" s="6"/>
      <c r="I968" s="6"/>
      <c r="J968" s="6"/>
      <c r="K968" s="6"/>
      <c r="L968" s="6"/>
      <c r="M968" s="6"/>
      <c r="N968" s="6"/>
      <c r="O968" s="6"/>
      <c r="P968" s="6"/>
    </row>
    <row r="969" spans="8:16" ht="14.25" customHeight="1" x14ac:dyDescent="0.15">
      <c r="H969" s="6"/>
      <c r="I969" s="6"/>
      <c r="J969" s="6"/>
      <c r="K969" s="6"/>
      <c r="L969" s="6"/>
      <c r="M969" s="6"/>
      <c r="N969" s="6"/>
      <c r="O969" s="6"/>
      <c r="P969" s="6"/>
    </row>
    <row r="970" spans="8:16" ht="14.25" customHeight="1" x14ac:dyDescent="0.15">
      <c r="H970" s="6"/>
      <c r="I970" s="6"/>
      <c r="J970" s="6"/>
      <c r="K970" s="6"/>
      <c r="L970" s="6"/>
      <c r="M970" s="6"/>
      <c r="N970" s="6"/>
      <c r="O970" s="6"/>
      <c r="P970" s="6"/>
    </row>
    <row r="971" spans="8:16" ht="14.25" customHeight="1" x14ac:dyDescent="0.15">
      <c r="H971" s="6"/>
      <c r="I971" s="6"/>
      <c r="J971" s="6"/>
      <c r="K971" s="6"/>
      <c r="L971" s="6"/>
      <c r="M971" s="6"/>
      <c r="N971" s="6"/>
      <c r="O971" s="6"/>
      <c r="P971" s="6"/>
    </row>
    <row r="972" spans="8:16" ht="14.25" customHeight="1" x14ac:dyDescent="0.15">
      <c r="H972" s="6"/>
      <c r="I972" s="6"/>
      <c r="J972" s="6"/>
      <c r="K972" s="6"/>
      <c r="L972" s="6"/>
      <c r="M972" s="6"/>
      <c r="N972" s="6"/>
      <c r="O972" s="6"/>
      <c r="P972" s="6"/>
    </row>
    <row r="973" spans="8:16" ht="14.25" customHeight="1" x14ac:dyDescent="0.15">
      <c r="H973" s="6"/>
      <c r="I973" s="6"/>
      <c r="J973" s="6"/>
      <c r="K973" s="6"/>
      <c r="L973" s="6"/>
      <c r="M973" s="6"/>
      <c r="N973" s="6"/>
      <c r="O973" s="6"/>
      <c r="P973" s="6"/>
    </row>
    <row r="974" spans="8:16" ht="14.25" customHeight="1" x14ac:dyDescent="0.15">
      <c r="H974" s="6"/>
      <c r="I974" s="6"/>
      <c r="J974" s="6"/>
      <c r="K974" s="6"/>
      <c r="L974" s="6"/>
      <c r="M974" s="6"/>
      <c r="N974" s="6"/>
      <c r="O974" s="6"/>
      <c r="P974" s="6"/>
    </row>
    <row r="975" spans="8:16" ht="14.25" customHeight="1" x14ac:dyDescent="0.15">
      <c r="H975" s="6"/>
      <c r="I975" s="6"/>
      <c r="J975" s="6"/>
      <c r="K975" s="6"/>
      <c r="L975" s="6"/>
      <c r="M975" s="6"/>
      <c r="N975" s="6"/>
      <c r="O975" s="6"/>
      <c r="P975" s="6"/>
    </row>
    <row r="976" spans="8:16" ht="14.25" customHeight="1" x14ac:dyDescent="0.15">
      <c r="H976" s="6"/>
      <c r="I976" s="6"/>
      <c r="J976" s="6"/>
      <c r="K976" s="6"/>
      <c r="L976" s="6"/>
      <c r="M976" s="6"/>
      <c r="N976" s="6"/>
      <c r="O976" s="6"/>
      <c r="P976" s="6"/>
    </row>
    <row r="977" spans="8:16" ht="14.25" customHeight="1" x14ac:dyDescent="0.15">
      <c r="H977" s="6"/>
      <c r="I977" s="6"/>
      <c r="J977" s="6"/>
      <c r="K977" s="6"/>
      <c r="L977" s="6"/>
      <c r="M977" s="6"/>
      <c r="N977" s="6"/>
      <c r="O977" s="6"/>
      <c r="P977" s="6"/>
    </row>
    <row r="978" spans="8:16" ht="14.25" customHeight="1" x14ac:dyDescent="0.15">
      <c r="H978" s="6"/>
      <c r="I978" s="6"/>
      <c r="J978" s="6"/>
      <c r="K978" s="6"/>
      <c r="L978" s="6"/>
      <c r="M978" s="6"/>
      <c r="N978" s="6"/>
      <c r="O978" s="6"/>
      <c r="P978" s="6"/>
    </row>
    <row r="979" spans="8:16" ht="14.25" customHeight="1" x14ac:dyDescent="0.15">
      <c r="H979" s="6"/>
      <c r="I979" s="6"/>
      <c r="J979" s="6"/>
      <c r="K979" s="6"/>
      <c r="L979" s="6"/>
      <c r="M979" s="6"/>
      <c r="N979" s="6"/>
      <c r="O979" s="6"/>
      <c r="P979" s="6"/>
    </row>
    <row r="980" spans="8:16" ht="14.25" customHeight="1" x14ac:dyDescent="0.15">
      <c r="H980" s="6"/>
      <c r="I980" s="6"/>
      <c r="J980" s="6"/>
      <c r="K980" s="6"/>
      <c r="L980" s="6"/>
      <c r="M980" s="6"/>
      <c r="N980" s="6"/>
      <c r="O980" s="6"/>
      <c r="P980" s="6"/>
    </row>
    <row r="981" spans="8:16" ht="14.25" customHeight="1" x14ac:dyDescent="0.15">
      <c r="H981" s="6"/>
      <c r="I981" s="6"/>
      <c r="J981" s="6"/>
      <c r="K981" s="6"/>
      <c r="L981" s="6"/>
      <c r="M981" s="6"/>
      <c r="N981" s="6"/>
      <c r="O981" s="6"/>
      <c r="P981" s="6"/>
    </row>
    <row r="982" spans="8:16" ht="14.25" customHeight="1" x14ac:dyDescent="0.15">
      <c r="H982" s="6"/>
      <c r="I982" s="6"/>
      <c r="J982" s="6"/>
      <c r="K982" s="6"/>
      <c r="L982" s="6"/>
      <c r="M982" s="6"/>
      <c r="N982" s="6"/>
      <c r="O982" s="6"/>
      <c r="P982" s="6"/>
    </row>
    <row r="983" spans="8:16" ht="14.25" customHeight="1" x14ac:dyDescent="0.15">
      <c r="H983" s="6"/>
      <c r="I983" s="6"/>
      <c r="J983" s="6"/>
      <c r="K983" s="6"/>
      <c r="L983" s="6"/>
      <c r="M983" s="6"/>
      <c r="N983" s="6"/>
      <c r="O983" s="6"/>
      <c r="P983" s="6"/>
    </row>
    <row r="984" spans="8:16" ht="14.25" customHeight="1" x14ac:dyDescent="0.15">
      <c r="H984" s="6"/>
      <c r="I984" s="6"/>
      <c r="J984" s="6"/>
      <c r="K984" s="6"/>
      <c r="L984" s="6"/>
      <c r="M984" s="6"/>
      <c r="N984" s="6"/>
      <c r="O984" s="6"/>
      <c r="P984" s="6"/>
    </row>
    <row r="985" spans="8:16" ht="14.25" customHeight="1" x14ac:dyDescent="0.15">
      <c r="H985" s="6"/>
      <c r="I985" s="6"/>
      <c r="J985" s="6"/>
      <c r="K985" s="6"/>
      <c r="L985" s="6"/>
      <c r="M985" s="6"/>
      <c r="N985" s="6"/>
      <c r="O985" s="6"/>
      <c r="P985" s="6"/>
    </row>
    <row r="986" spans="8:16" ht="14.25" customHeight="1" x14ac:dyDescent="0.15">
      <c r="H986" s="6"/>
      <c r="I986" s="6"/>
      <c r="J986" s="6"/>
      <c r="K986" s="6"/>
      <c r="L986" s="6"/>
      <c r="M986" s="6"/>
      <c r="N986" s="6"/>
      <c r="O986" s="6"/>
      <c r="P986" s="6"/>
    </row>
    <row r="987" spans="8:16" ht="14.25" customHeight="1" x14ac:dyDescent="0.15">
      <c r="H987" s="6"/>
      <c r="I987" s="6"/>
      <c r="J987" s="6"/>
      <c r="K987" s="6"/>
      <c r="L987" s="6"/>
      <c r="M987" s="6"/>
      <c r="N987" s="6"/>
      <c r="O987" s="6"/>
      <c r="P987" s="6"/>
    </row>
    <row r="988" spans="8:16" ht="14.25" customHeight="1" x14ac:dyDescent="0.15">
      <c r="H988" s="6"/>
      <c r="I988" s="6"/>
      <c r="J988" s="6"/>
      <c r="K988" s="6"/>
      <c r="L988" s="6"/>
      <c r="M988" s="6"/>
      <c r="N988" s="6"/>
      <c r="O988" s="6"/>
      <c r="P988" s="6"/>
    </row>
    <row r="989" spans="8:16" ht="14.25" customHeight="1" x14ac:dyDescent="0.15">
      <c r="H989" s="6"/>
      <c r="I989" s="6"/>
      <c r="J989" s="6"/>
      <c r="K989" s="6"/>
      <c r="L989" s="6"/>
      <c r="M989" s="6"/>
      <c r="N989" s="6"/>
      <c r="O989" s="6"/>
      <c r="P989" s="6"/>
    </row>
    <row r="990" spans="8:16" ht="14.25" customHeight="1" x14ac:dyDescent="0.15">
      <c r="H990" s="6"/>
      <c r="I990" s="6"/>
      <c r="J990" s="6"/>
      <c r="K990" s="6"/>
      <c r="L990" s="6"/>
      <c r="M990" s="6"/>
      <c r="N990" s="6"/>
      <c r="O990" s="6"/>
      <c r="P990" s="6"/>
    </row>
    <row r="991" spans="8:16" ht="14.25" customHeight="1" x14ac:dyDescent="0.15">
      <c r="H991" s="6"/>
      <c r="I991" s="6"/>
      <c r="J991" s="6"/>
      <c r="K991" s="6"/>
      <c r="L991" s="6"/>
      <c r="M991" s="6"/>
      <c r="N991" s="6"/>
      <c r="O991" s="6"/>
      <c r="P991" s="6"/>
    </row>
    <row r="992" spans="8:16" ht="14.25" customHeight="1" x14ac:dyDescent="0.15">
      <c r="H992" s="6"/>
      <c r="I992" s="6"/>
      <c r="J992" s="6"/>
      <c r="K992" s="6"/>
      <c r="L992" s="6"/>
      <c r="M992" s="6"/>
      <c r="N992" s="6"/>
      <c r="O992" s="6"/>
      <c r="P992" s="6"/>
    </row>
    <row r="993" spans="8:16" ht="14.25" customHeight="1" x14ac:dyDescent="0.15">
      <c r="H993" s="6"/>
      <c r="I993" s="6"/>
      <c r="J993" s="6"/>
      <c r="K993" s="6"/>
      <c r="L993" s="6"/>
      <c r="M993" s="6"/>
      <c r="N993" s="6"/>
      <c r="O993" s="6"/>
      <c r="P993" s="6"/>
    </row>
    <row r="994" spans="8:16" ht="14.25" customHeight="1" x14ac:dyDescent="0.15">
      <c r="H994" s="6"/>
      <c r="I994" s="6"/>
      <c r="J994" s="6"/>
      <c r="K994" s="6"/>
      <c r="L994" s="6"/>
      <c r="M994" s="6"/>
      <c r="N994" s="6"/>
      <c r="O994" s="6"/>
      <c r="P994" s="6"/>
    </row>
    <row r="995" spans="8:16" ht="14.25" customHeight="1" x14ac:dyDescent="0.15">
      <c r="H995" s="6"/>
      <c r="I995" s="6"/>
      <c r="J995" s="6"/>
      <c r="K995" s="6"/>
      <c r="L995" s="6"/>
      <c r="M995" s="6"/>
      <c r="N995" s="6"/>
      <c r="O995" s="6"/>
      <c r="P995" s="6"/>
    </row>
    <row r="996" spans="8:16" ht="14.25" customHeight="1" x14ac:dyDescent="0.15">
      <c r="H996" s="6"/>
      <c r="I996" s="6"/>
      <c r="J996" s="6"/>
      <c r="K996" s="6"/>
      <c r="L996" s="6"/>
      <c r="M996" s="6"/>
      <c r="N996" s="6"/>
      <c r="O996" s="6"/>
      <c r="P996" s="6"/>
    </row>
    <row r="997" spans="8:16" ht="14.25" customHeight="1" x14ac:dyDescent="0.15">
      <c r="H997" s="6"/>
      <c r="I997" s="6"/>
      <c r="J997" s="6"/>
      <c r="K997" s="6"/>
      <c r="L997" s="6"/>
      <c r="M997" s="6"/>
      <c r="N997" s="6"/>
      <c r="O997" s="6"/>
      <c r="P997" s="6"/>
    </row>
    <row r="998" spans="8:16" ht="14.25" customHeight="1" x14ac:dyDescent="0.15">
      <c r="H998" s="6"/>
      <c r="I998" s="6"/>
      <c r="J998" s="6"/>
      <c r="K998" s="6"/>
      <c r="L998" s="6"/>
      <c r="M998" s="6"/>
      <c r="N998" s="6"/>
      <c r="O998" s="6"/>
      <c r="P998" s="6"/>
    </row>
    <row r="999" spans="8:16" ht="14.25" customHeight="1" x14ac:dyDescent="0.15">
      <c r="H999" s="6"/>
      <c r="I999" s="6"/>
      <c r="J999" s="6"/>
      <c r="K999" s="6"/>
      <c r="L999" s="6"/>
      <c r="M999" s="6"/>
      <c r="N999" s="6"/>
      <c r="O999" s="6"/>
      <c r="P999" s="6"/>
    </row>
    <row r="1000" spans="8:16" ht="14.25" customHeight="1" x14ac:dyDescent="0.15">
      <c r="H1000" s="6"/>
      <c r="I1000" s="6"/>
      <c r="J1000" s="6"/>
      <c r="K1000" s="6"/>
      <c r="L1000" s="6"/>
      <c r="M1000" s="6"/>
      <c r="N1000" s="6"/>
      <c r="O1000" s="6"/>
      <c r="P1000" s="6"/>
    </row>
  </sheetData>
  <mergeCells count="2">
    <mergeCell ref="Q1:T1"/>
    <mergeCell ref="I1:L1"/>
  </mergeCells>
  <pageMargins left="0.7" right="0.7" top="0.75" bottom="0.75" header="0" footer="0"/>
  <pageSetup orientation="landscape"/>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1000"/>
  <sheetViews>
    <sheetView workbookViewId="0">
      <selection activeCell="J17" sqref="J17"/>
    </sheetView>
  </sheetViews>
  <sheetFormatPr baseColWidth="10" defaultColWidth="12.6640625" defaultRowHeight="15" customHeight="1" x14ac:dyDescent="0.15"/>
  <cols>
    <col min="1" max="1" width="9.6640625" customWidth="1"/>
    <col min="2" max="6" width="7.6640625" customWidth="1"/>
    <col min="7" max="7" width="8.5" bestFit="1" customWidth="1"/>
    <col min="8" max="26" width="7.6640625" customWidth="1"/>
  </cols>
  <sheetData>
    <row r="2" spans="1:10" x14ac:dyDescent="0.2">
      <c r="A2" s="56" t="s">
        <v>50</v>
      </c>
      <c r="F2" s="13" t="s">
        <v>51</v>
      </c>
      <c r="G2" s="13" t="s">
        <v>52</v>
      </c>
    </row>
    <row r="3" spans="1:10" x14ac:dyDescent="0.2">
      <c r="A3" s="56" t="s">
        <v>42</v>
      </c>
      <c r="E3" s="13">
        <v>-100</v>
      </c>
      <c r="F3" s="57">
        <f t="shared" ref="F3:F66" si="0">Stock+(E3/100)*Stock</f>
        <v>0</v>
      </c>
      <c r="G3" s="58">
        <f>IF(bs_option_type="Call",IF(((F3-Stock-(vba_bs_result/Stock)*Stock))&lt;-(vba_bs_result/Stock)*Stock,-(vba_bs_result/Stock)*Stock,(F3-Stock-(vba_bs_result/Stock)*Stock)*1),IF((Exercise-(vba_bs_result/Stock)*Stock)-F3&lt;-(vba_bs_result/Stock)*Stock,-(vba_bs_result/Stock)*Stock,(Exercise-(vba_bs_result/Stock)*Stock)-F3))</f>
        <v>-19.961832129299381</v>
      </c>
      <c r="J3" s="61"/>
    </row>
    <row r="4" spans="1:10" x14ac:dyDescent="0.2">
      <c r="A4" s="56" t="s">
        <v>12</v>
      </c>
      <c r="E4" s="13">
        <f t="shared" ref="E4:E203" si="1">E3+1</f>
        <v>-99</v>
      </c>
      <c r="F4" s="57">
        <f t="shared" si="0"/>
        <v>1.0978000000000065</v>
      </c>
      <c r="G4" s="58">
        <f>IF(bs_option_type="Call",IF(((F4-Stock-(vba_bs_result/Stock)*Stock))&lt;-(vba_bs_result/Stock)*Stock,-(vba_bs_result/Stock)*Stock,(F4-Stock-(vba_bs_result/Stock)*Stock)*1),IF((Exercise-(vba_bs_result/Stock)*Stock)-F4&lt;-(vba_bs_result/Stock)*Stock,-(vba_bs_result/Stock)*Stock,(Exercise-(vba_bs_result/Stock)*Stock)-F4))</f>
        <v>-19.961832129299381</v>
      </c>
    </row>
    <row r="5" spans="1:10" x14ac:dyDescent="0.2">
      <c r="E5" s="13">
        <f t="shared" si="1"/>
        <v>-98</v>
      </c>
      <c r="F5" s="57">
        <f t="shared" si="0"/>
        <v>2.1955999999999989</v>
      </c>
      <c r="G5" s="58">
        <f>IF(bs_option_type="Call",IF(((F5-Stock-(vba_bs_result/Stock)*Stock))&lt;-(vba_bs_result/Stock)*Stock,-(vba_bs_result/Stock)*Stock,(F5-Stock-(vba_bs_result/Stock)*Stock)*1),IF((Exercise-(vba_bs_result/Stock)*Stock)-F5&lt;-(vba_bs_result/Stock)*Stock,-(vba_bs_result/Stock)*Stock,(Exercise-(vba_bs_result/Stock)*Stock)-F5))</f>
        <v>-19.961832129299381</v>
      </c>
    </row>
    <row r="6" spans="1:10" x14ac:dyDescent="0.2">
      <c r="E6" s="13">
        <f t="shared" si="1"/>
        <v>-97</v>
      </c>
      <c r="F6" s="57">
        <f t="shared" si="0"/>
        <v>3.2934000000000054</v>
      </c>
      <c r="G6" s="58">
        <f>IF(bs_option_type="Call",IF(((F6-Stock-(vba_bs_result/Stock)*Stock))&lt;-(vba_bs_result/Stock)*Stock,-(vba_bs_result/Stock)*Stock,(F6-Stock-(vba_bs_result/Stock)*Stock)*1),IF((Exercise-(vba_bs_result/Stock)*Stock)-F6&lt;-(vba_bs_result/Stock)*Stock,-(vba_bs_result/Stock)*Stock,(Exercise-(vba_bs_result/Stock)*Stock)-F6))</f>
        <v>-19.961832129299381</v>
      </c>
    </row>
    <row r="7" spans="1:10" x14ac:dyDescent="0.2">
      <c r="E7" s="13">
        <f t="shared" si="1"/>
        <v>-96</v>
      </c>
      <c r="F7" s="57">
        <f t="shared" si="0"/>
        <v>4.3911999999999978</v>
      </c>
      <c r="G7" s="58">
        <f>IF(bs_option_type="Call",IF(((F7-Stock-(vba_bs_result/Stock)*Stock))&lt;-(vba_bs_result/Stock)*Stock,-(vba_bs_result/Stock)*Stock,(F7-Stock-(vba_bs_result/Stock)*Stock)*1),IF((Exercise-(vba_bs_result/Stock)*Stock)-F7&lt;-(vba_bs_result/Stock)*Stock,-(vba_bs_result/Stock)*Stock,(Exercise-(vba_bs_result/Stock)*Stock)-F7))</f>
        <v>-19.961832129299381</v>
      </c>
    </row>
    <row r="8" spans="1:10" x14ac:dyDescent="0.2">
      <c r="E8" s="13">
        <f t="shared" si="1"/>
        <v>-95</v>
      </c>
      <c r="F8" s="57">
        <f t="shared" si="0"/>
        <v>5.4890000000000043</v>
      </c>
      <c r="G8" s="58">
        <f>IF(bs_option_type="Call",IF(((F8-Stock-(vba_bs_result/Stock)*Stock))&lt;-(vba_bs_result/Stock)*Stock,-(vba_bs_result/Stock)*Stock,(F8-Stock-(vba_bs_result/Stock)*Stock)*1),IF((Exercise-(vba_bs_result/Stock)*Stock)-F8&lt;-(vba_bs_result/Stock)*Stock,-(vba_bs_result/Stock)*Stock,(Exercise-(vba_bs_result/Stock)*Stock)-F8))</f>
        <v>-19.961832129299381</v>
      </c>
    </row>
    <row r="9" spans="1:10" x14ac:dyDescent="0.2">
      <c r="E9" s="13">
        <f t="shared" si="1"/>
        <v>-94</v>
      </c>
      <c r="F9" s="57">
        <f t="shared" si="0"/>
        <v>6.5868000000000109</v>
      </c>
      <c r="G9" s="58">
        <f>IF(bs_option_type="Call",IF(((F9-Stock-(vba_bs_result/Stock)*Stock))&lt;-(vba_bs_result/Stock)*Stock,-(vba_bs_result/Stock)*Stock,(F9-Stock-(vba_bs_result/Stock)*Stock)*1),IF((Exercise-(vba_bs_result/Stock)*Stock)-F9&lt;-(vba_bs_result/Stock)*Stock,-(vba_bs_result/Stock)*Stock,(Exercise-(vba_bs_result/Stock)*Stock)-F9))</f>
        <v>-19.961832129299381</v>
      </c>
    </row>
    <row r="10" spans="1:10" x14ac:dyDescent="0.2">
      <c r="E10" s="13">
        <f t="shared" si="1"/>
        <v>-93</v>
      </c>
      <c r="F10" s="57">
        <f t="shared" si="0"/>
        <v>7.684599999999989</v>
      </c>
      <c r="G10" s="58">
        <f>IF(bs_option_type="Call",IF(((F10-Stock-(vba_bs_result/Stock)*Stock))&lt;-(vba_bs_result/Stock)*Stock,-(vba_bs_result/Stock)*Stock,(F10-Stock-(vba_bs_result/Stock)*Stock)*1),IF((Exercise-(vba_bs_result/Stock)*Stock)-F10&lt;-(vba_bs_result/Stock)*Stock,-(vba_bs_result/Stock)*Stock,(Exercise-(vba_bs_result/Stock)*Stock)-F10))</f>
        <v>-19.961832129299381</v>
      </c>
    </row>
    <row r="11" spans="1:10" x14ac:dyDescent="0.2">
      <c r="E11" s="13">
        <f t="shared" si="1"/>
        <v>-92</v>
      </c>
      <c r="F11" s="57">
        <f t="shared" si="0"/>
        <v>8.7823999999999955</v>
      </c>
      <c r="G11" s="58">
        <f>IF(bs_option_type="Call",IF(((F11-Stock-(vba_bs_result/Stock)*Stock))&lt;-(vba_bs_result/Stock)*Stock,-(vba_bs_result/Stock)*Stock,(F11-Stock-(vba_bs_result/Stock)*Stock)*1),IF((Exercise-(vba_bs_result/Stock)*Stock)-F11&lt;-(vba_bs_result/Stock)*Stock,-(vba_bs_result/Stock)*Stock,(Exercise-(vba_bs_result/Stock)*Stock)-F11))</f>
        <v>-19.961832129299381</v>
      </c>
    </row>
    <row r="12" spans="1:10" x14ac:dyDescent="0.2">
      <c r="E12" s="13">
        <f t="shared" si="1"/>
        <v>-91</v>
      </c>
      <c r="F12" s="57">
        <f t="shared" si="0"/>
        <v>9.8802000000000021</v>
      </c>
      <c r="G12" s="58">
        <f>IF(bs_option_type="Call",IF(((F12-Stock-(vba_bs_result/Stock)*Stock))&lt;-(vba_bs_result/Stock)*Stock,-(vba_bs_result/Stock)*Stock,(F12-Stock-(vba_bs_result/Stock)*Stock)*1),IF((Exercise-(vba_bs_result/Stock)*Stock)-F12&lt;-(vba_bs_result/Stock)*Stock,-(vba_bs_result/Stock)*Stock,(Exercise-(vba_bs_result/Stock)*Stock)-F12))</f>
        <v>-19.961832129299381</v>
      </c>
    </row>
    <row r="13" spans="1:10" x14ac:dyDescent="0.2">
      <c r="E13" s="13">
        <f t="shared" si="1"/>
        <v>-90</v>
      </c>
      <c r="F13" s="57">
        <f t="shared" si="0"/>
        <v>10.977999999999994</v>
      </c>
      <c r="G13" s="58">
        <f>IF(bs_option_type="Call",IF(((F13-Stock-(vba_bs_result/Stock)*Stock))&lt;-(vba_bs_result/Stock)*Stock,-(vba_bs_result/Stock)*Stock,(F13-Stock-(vba_bs_result/Stock)*Stock)*1),IF((Exercise-(vba_bs_result/Stock)*Stock)-F13&lt;-(vba_bs_result/Stock)*Stock,-(vba_bs_result/Stock)*Stock,(Exercise-(vba_bs_result/Stock)*Stock)-F13))</f>
        <v>-19.961832129299381</v>
      </c>
    </row>
    <row r="14" spans="1:10" x14ac:dyDescent="0.2">
      <c r="E14" s="13">
        <f t="shared" si="1"/>
        <v>-89</v>
      </c>
      <c r="F14" s="57">
        <f t="shared" si="0"/>
        <v>12.075800000000001</v>
      </c>
      <c r="G14" s="58">
        <f>IF(bs_option_type="Call",IF(((F14-Stock-(vba_bs_result/Stock)*Stock))&lt;-(vba_bs_result/Stock)*Stock,-(vba_bs_result/Stock)*Stock,(F14-Stock-(vba_bs_result/Stock)*Stock)*1),IF((Exercise-(vba_bs_result/Stock)*Stock)-F14&lt;-(vba_bs_result/Stock)*Stock,-(vba_bs_result/Stock)*Stock,(Exercise-(vba_bs_result/Stock)*Stock)-F14))</f>
        <v>-19.961832129299381</v>
      </c>
    </row>
    <row r="15" spans="1:10" x14ac:dyDescent="0.2">
      <c r="E15" s="13">
        <f t="shared" si="1"/>
        <v>-88</v>
      </c>
      <c r="F15" s="57">
        <f t="shared" si="0"/>
        <v>13.173599999999993</v>
      </c>
      <c r="G15" s="58">
        <f>IF(bs_option_type="Call",IF(((F15-Stock-(vba_bs_result/Stock)*Stock))&lt;-(vba_bs_result/Stock)*Stock,-(vba_bs_result/Stock)*Stock,(F15-Stock-(vba_bs_result/Stock)*Stock)*1),IF((Exercise-(vba_bs_result/Stock)*Stock)-F15&lt;-(vba_bs_result/Stock)*Stock,-(vba_bs_result/Stock)*Stock,(Exercise-(vba_bs_result/Stock)*Stock)-F15))</f>
        <v>-19.961832129299381</v>
      </c>
    </row>
    <row r="16" spans="1:10" x14ac:dyDescent="0.2">
      <c r="E16" s="13">
        <f t="shared" si="1"/>
        <v>-87</v>
      </c>
      <c r="F16" s="57">
        <f t="shared" si="0"/>
        <v>14.2714</v>
      </c>
      <c r="G16" s="58">
        <f>IF(bs_option_type="Call",IF(((F16-Stock-(vba_bs_result/Stock)*Stock))&lt;-(vba_bs_result/Stock)*Stock,-(vba_bs_result/Stock)*Stock,(F16-Stock-(vba_bs_result/Stock)*Stock)*1),IF((Exercise-(vba_bs_result/Stock)*Stock)-F16&lt;-(vba_bs_result/Stock)*Stock,-(vba_bs_result/Stock)*Stock,(Exercise-(vba_bs_result/Stock)*Stock)-F16))</f>
        <v>-19.961832129299381</v>
      </c>
    </row>
    <row r="17" spans="5:7" x14ac:dyDescent="0.2">
      <c r="E17" s="13">
        <f t="shared" si="1"/>
        <v>-86</v>
      </c>
      <c r="F17" s="57">
        <f t="shared" si="0"/>
        <v>15.369200000000006</v>
      </c>
      <c r="G17" s="58">
        <f>IF(bs_option_type="Call",IF(((F17-Stock-(vba_bs_result/Stock)*Stock))&lt;-(vba_bs_result/Stock)*Stock,-(vba_bs_result/Stock)*Stock,(F17-Stock-(vba_bs_result/Stock)*Stock)*1),IF((Exercise-(vba_bs_result/Stock)*Stock)-F17&lt;-(vba_bs_result/Stock)*Stock,-(vba_bs_result/Stock)*Stock,(Exercise-(vba_bs_result/Stock)*Stock)-F17))</f>
        <v>-19.961832129299381</v>
      </c>
    </row>
    <row r="18" spans="5:7" x14ac:dyDescent="0.2">
      <c r="E18" s="13">
        <f t="shared" si="1"/>
        <v>-85</v>
      </c>
      <c r="F18" s="57">
        <f t="shared" si="0"/>
        <v>16.466999999999999</v>
      </c>
      <c r="G18" s="58">
        <f>IF(bs_option_type="Call",IF(((F18-Stock-(vba_bs_result/Stock)*Stock))&lt;-(vba_bs_result/Stock)*Stock,-(vba_bs_result/Stock)*Stock,(F18-Stock-(vba_bs_result/Stock)*Stock)*1),IF((Exercise-(vba_bs_result/Stock)*Stock)-F18&lt;-(vba_bs_result/Stock)*Stock,-(vba_bs_result/Stock)*Stock,(Exercise-(vba_bs_result/Stock)*Stock)-F18))</f>
        <v>-19.961832129299381</v>
      </c>
    </row>
    <row r="19" spans="5:7" x14ac:dyDescent="0.2">
      <c r="E19" s="13">
        <f t="shared" si="1"/>
        <v>-84</v>
      </c>
      <c r="F19" s="57">
        <f t="shared" si="0"/>
        <v>17.564800000000005</v>
      </c>
      <c r="G19" s="58">
        <f>IF(bs_option_type="Call",IF(((F19-Stock-(vba_bs_result/Stock)*Stock))&lt;-(vba_bs_result/Stock)*Stock,-(vba_bs_result/Stock)*Stock,(F19-Stock-(vba_bs_result/Stock)*Stock)*1),IF((Exercise-(vba_bs_result/Stock)*Stock)-F19&lt;-(vba_bs_result/Stock)*Stock,-(vba_bs_result/Stock)*Stock,(Exercise-(vba_bs_result/Stock)*Stock)-F19))</f>
        <v>-19.961832129299381</v>
      </c>
    </row>
    <row r="20" spans="5:7" x14ac:dyDescent="0.2">
      <c r="E20" s="13">
        <f t="shared" si="1"/>
        <v>-83</v>
      </c>
      <c r="F20" s="57">
        <f t="shared" si="0"/>
        <v>18.662599999999998</v>
      </c>
      <c r="G20" s="58">
        <f>IF(bs_option_type="Call",IF(((F20-Stock-(vba_bs_result/Stock)*Stock))&lt;-(vba_bs_result/Stock)*Stock,-(vba_bs_result/Stock)*Stock,(F20-Stock-(vba_bs_result/Stock)*Stock)*1),IF((Exercise-(vba_bs_result/Stock)*Stock)-F20&lt;-(vba_bs_result/Stock)*Stock,-(vba_bs_result/Stock)*Stock,(Exercise-(vba_bs_result/Stock)*Stock)-F20))</f>
        <v>-19.961832129299381</v>
      </c>
    </row>
    <row r="21" spans="5:7" ht="15.75" customHeight="1" x14ac:dyDescent="0.2">
      <c r="E21" s="13">
        <f t="shared" si="1"/>
        <v>-82</v>
      </c>
      <c r="F21" s="57">
        <f t="shared" si="0"/>
        <v>19.760400000000004</v>
      </c>
      <c r="G21" s="58">
        <f>IF(bs_option_type="Call",IF(((F21-Stock-(vba_bs_result/Stock)*Stock))&lt;-(vba_bs_result/Stock)*Stock,-(vba_bs_result/Stock)*Stock,(F21-Stock-(vba_bs_result/Stock)*Stock)*1),IF((Exercise-(vba_bs_result/Stock)*Stock)-F21&lt;-(vba_bs_result/Stock)*Stock,-(vba_bs_result/Stock)*Stock,(Exercise-(vba_bs_result/Stock)*Stock)-F21))</f>
        <v>-19.961832129299381</v>
      </c>
    </row>
    <row r="22" spans="5:7" ht="15.75" customHeight="1" x14ac:dyDescent="0.2">
      <c r="E22" s="13">
        <f t="shared" si="1"/>
        <v>-81</v>
      </c>
      <c r="F22" s="57">
        <f t="shared" si="0"/>
        <v>20.858199999999997</v>
      </c>
      <c r="G22" s="58">
        <f>IF(bs_option_type="Call",IF(((F22-Stock-(vba_bs_result/Stock)*Stock))&lt;-(vba_bs_result/Stock)*Stock,-(vba_bs_result/Stock)*Stock,(F22-Stock-(vba_bs_result/Stock)*Stock)*1),IF((Exercise-(vba_bs_result/Stock)*Stock)-F22&lt;-(vba_bs_result/Stock)*Stock,-(vba_bs_result/Stock)*Stock,(Exercise-(vba_bs_result/Stock)*Stock)-F22))</f>
        <v>-19.961832129299381</v>
      </c>
    </row>
    <row r="23" spans="5:7" ht="15.75" customHeight="1" x14ac:dyDescent="0.2">
      <c r="E23" s="13">
        <f t="shared" si="1"/>
        <v>-80</v>
      </c>
      <c r="F23" s="57">
        <f t="shared" si="0"/>
        <v>21.955999999999989</v>
      </c>
      <c r="G23" s="58">
        <f>IF(bs_option_type="Call",IF(((F23-Stock-(vba_bs_result/Stock)*Stock))&lt;-(vba_bs_result/Stock)*Stock,-(vba_bs_result/Stock)*Stock,(F23-Stock-(vba_bs_result/Stock)*Stock)*1),IF((Exercise-(vba_bs_result/Stock)*Stock)-F23&lt;-(vba_bs_result/Stock)*Stock,-(vba_bs_result/Stock)*Stock,(Exercise-(vba_bs_result/Stock)*Stock)-F23))</f>
        <v>-19.961832129299381</v>
      </c>
    </row>
    <row r="24" spans="5:7" ht="15.75" customHeight="1" x14ac:dyDescent="0.2">
      <c r="E24" s="13">
        <f t="shared" si="1"/>
        <v>-79</v>
      </c>
      <c r="F24" s="57">
        <f t="shared" si="0"/>
        <v>23.053799999999995</v>
      </c>
      <c r="G24" s="58">
        <f>IF(bs_option_type="Call",IF(((F24-Stock-(vba_bs_result/Stock)*Stock))&lt;-(vba_bs_result/Stock)*Stock,-(vba_bs_result/Stock)*Stock,(F24-Stock-(vba_bs_result/Stock)*Stock)*1),IF((Exercise-(vba_bs_result/Stock)*Stock)-F24&lt;-(vba_bs_result/Stock)*Stock,-(vba_bs_result/Stock)*Stock,(Exercise-(vba_bs_result/Stock)*Stock)-F24))</f>
        <v>-19.961832129299381</v>
      </c>
    </row>
    <row r="25" spans="5:7" ht="15.75" customHeight="1" x14ac:dyDescent="0.2">
      <c r="E25" s="13">
        <f t="shared" si="1"/>
        <v>-78</v>
      </c>
      <c r="F25" s="57">
        <f t="shared" si="0"/>
        <v>24.151600000000002</v>
      </c>
      <c r="G25" s="58">
        <f>IF(bs_option_type="Call",IF(((F25-Stock-(vba_bs_result/Stock)*Stock))&lt;-(vba_bs_result/Stock)*Stock,-(vba_bs_result/Stock)*Stock,(F25-Stock-(vba_bs_result/Stock)*Stock)*1),IF((Exercise-(vba_bs_result/Stock)*Stock)-F25&lt;-(vba_bs_result/Stock)*Stock,-(vba_bs_result/Stock)*Stock,(Exercise-(vba_bs_result/Stock)*Stock)-F25))</f>
        <v>-19.961832129299381</v>
      </c>
    </row>
    <row r="26" spans="5:7" ht="15.75" customHeight="1" x14ac:dyDescent="0.2">
      <c r="E26" s="13">
        <f t="shared" si="1"/>
        <v>-77</v>
      </c>
      <c r="F26" s="57">
        <f t="shared" si="0"/>
        <v>25.249399999999994</v>
      </c>
      <c r="G26" s="58">
        <f>IF(bs_option_type="Call",IF(((F26-Stock-(vba_bs_result/Stock)*Stock))&lt;-(vba_bs_result/Stock)*Stock,-(vba_bs_result/Stock)*Stock,(F26-Stock-(vba_bs_result/Stock)*Stock)*1),IF((Exercise-(vba_bs_result/Stock)*Stock)-F26&lt;-(vba_bs_result/Stock)*Stock,-(vba_bs_result/Stock)*Stock,(Exercise-(vba_bs_result/Stock)*Stock)-F26))</f>
        <v>-19.961832129299381</v>
      </c>
    </row>
    <row r="27" spans="5:7" ht="15.75" customHeight="1" x14ac:dyDescent="0.2">
      <c r="E27" s="13">
        <f t="shared" si="1"/>
        <v>-76</v>
      </c>
      <c r="F27" s="57">
        <f t="shared" si="0"/>
        <v>26.347200000000001</v>
      </c>
      <c r="G27" s="58">
        <f>IF(bs_option_type="Call",IF(((F27-Stock-(vba_bs_result/Stock)*Stock))&lt;-(vba_bs_result/Stock)*Stock,-(vba_bs_result/Stock)*Stock,(F27-Stock-(vba_bs_result/Stock)*Stock)*1),IF((Exercise-(vba_bs_result/Stock)*Stock)-F27&lt;-(vba_bs_result/Stock)*Stock,-(vba_bs_result/Stock)*Stock,(Exercise-(vba_bs_result/Stock)*Stock)-F27))</f>
        <v>-19.961832129299381</v>
      </c>
    </row>
    <row r="28" spans="5:7" ht="15.75" customHeight="1" x14ac:dyDescent="0.2">
      <c r="E28" s="13">
        <f t="shared" si="1"/>
        <v>-75</v>
      </c>
      <c r="F28" s="57">
        <f t="shared" si="0"/>
        <v>27.444999999999993</v>
      </c>
      <c r="G28" s="58">
        <f>IF(bs_option_type="Call",IF(((F28-Stock-(vba_bs_result/Stock)*Stock))&lt;-(vba_bs_result/Stock)*Stock,-(vba_bs_result/Stock)*Stock,(F28-Stock-(vba_bs_result/Stock)*Stock)*1),IF((Exercise-(vba_bs_result/Stock)*Stock)-F28&lt;-(vba_bs_result/Stock)*Stock,-(vba_bs_result/Stock)*Stock,(Exercise-(vba_bs_result/Stock)*Stock)-F28))</f>
        <v>-19.961832129299381</v>
      </c>
    </row>
    <row r="29" spans="5:7" ht="15.75" customHeight="1" x14ac:dyDescent="0.2">
      <c r="E29" s="13">
        <f t="shared" si="1"/>
        <v>-74</v>
      </c>
      <c r="F29" s="57">
        <f t="shared" si="0"/>
        <v>28.5428</v>
      </c>
      <c r="G29" s="58">
        <f>IF(bs_option_type="Call",IF(((F29-Stock-(vba_bs_result/Stock)*Stock))&lt;-(vba_bs_result/Stock)*Stock,-(vba_bs_result/Stock)*Stock,(F29-Stock-(vba_bs_result/Stock)*Stock)*1),IF((Exercise-(vba_bs_result/Stock)*Stock)-F29&lt;-(vba_bs_result/Stock)*Stock,-(vba_bs_result/Stock)*Stock,(Exercise-(vba_bs_result/Stock)*Stock)-F29))</f>
        <v>-19.961832129299381</v>
      </c>
    </row>
    <row r="30" spans="5:7" ht="15.75" customHeight="1" x14ac:dyDescent="0.2">
      <c r="E30" s="13">
        <f t="shared" si="1"/>
        <v>-73</v>
      </c>
      <c r="F30" s="57">
        <f t="shared" si="0"/>
        <v>29.640600000000006</v>
      </c>
      <c r="G30" s="58">
        <f>IF(bs_option_type="Call",IF(((F30-Stock-(vba_bs_result/Stock)*Stock))&lt;-(vba_bs_result/Stock)*Stock,-(vba_bs_result/Stock)*Stock,(F30-Stock-(vba_bs_result/Stock)*Stock)*1),IF((Exercise-(vba_bs_result/Stock)*Stock)-F30&lt;-(vba_bs_result/Stock)*Stock,-(vba_bs_result/Stock)*Stock,(Exercise-(vba_bs_result/Stock)*Stock)-F30))</f>
        <v>-19.961832129299381</v>
      </c>
    </row>
    <row r="31" spans="5:7" ht="15.75" customHeight="1" x14ac:dyDescent="0.2">
      <c r="E31" s="13">
        <f t="shared" si="1"/>
        <v>-72</v>
      </c>
      <c r="F31" s="57">
        <f t="shared" si="0"/>
        <v>30.738399999999999</v>
      </c>
      <c r="G31" s="58">
        <f>IF(bs_option_type="Call",IF(((F31-Stock-(vba_bs_result/Stock)*Stock))&lt;-(vba_bs_result/Stock)*Stock,-(vba_bs_result/Stock)*Stock,(F31-Stock-(vba_bs_result/Stock)*Stock)*1),IF((Exercise-(vba_bs_result/Stock)*Stock)-F31&lt;-(vba_bs_result/Stock)*Stock,-(vba_bs_result/Stock)*Stock,(Exercise-(vba_bs_result/Stock)*Stock)-F31))</f>
        <v>-19.961832129299381</v>
      </c>
    </row>
    <row r="32" spans="5:7" ht="15.75" customHeight="1" x14ac:dyDescent="0.2">
      <c r="E32" s="13">
        <f t="shared" si="1"/>
        <v>-71</v>
      </c>
      <c r="F32" s="57">
        <f t="shared" si="0"/>
        <v>31.836200000000005</v>
      </c>
      <c r="G32" s="58">
        <f>IF(bs_option_type="Call",IF(((F32-Stock-(vba_bs_result/Stock)*Stock))&lt;-(vba_bs_result/Stock)*Stock,-(vba_bs_result/Stock)*Stock,(F32-Stock-(vba_bs_result/Stock)*Stock)*1),IF((Exercise-(vba_bs_result/Stock)*Stock)-F32&lt;-(vba_bs_result/Stock)*Stock,-(vba_bs_result/Stock)*Stock,(Exercise-(vba_bs_result/Stock)*Stock)-F32))</f>
        <v>-19.961832129299381</v>
      </c>
    </row>
    <row r="33" spans="5:7" ht="15.75" customHeight="1" x14ac:dyDescent="0.2">
      <c r="E33" s="13">
        <f t="shared" si="1"/>
        <v>-70</v>
      </c>
      <c r="F33" s="57">
        <f t="shared" si="0"/>
        <v>32.934000000000012</v>
      </c>
      <c r="G33" s="58">
        <f>IF(bs_option_type="Call",IF(((F33-Stock-(vba_bs_result/Stock)*Stock))&lt;-(vba_bs_result/Stock)*Stock,-(vba_bs_result/Stock)*Stock,(F33-Stock-(vba_bs_result/Stock)*Stock)*1),IF((Exercise-(vba_bs_result/Stock)*Stock)-F33&lt;-(vba_bs_result/Stock)*Stock,-(vba_bs_result/Stock)*Stock,(Exercise-(vba_bs_result/Stock)*Stock)-F33))</f>
        <v>-19.961832129299381</v>
      </c>
    </row>
    <row r="34" spans="5:7" ht="15.75" customHeight="1" x14ac:dyDescent="0.2">
      <c r="E34" s="13">
        <f t="shared" si="1"/>
        <v>-69</v>
      </c>
      <c r="F34" s="57">
        <f t="shared" si="0"/>
        <v>34.031800000000004</v>
      </c>
      <c r="G34" s="58">
        <f>IF(bs_option_type="Call",IF(((F34-Stock-(vba_bs_result/Stock)*Stock))&lt;-(vba_bs_result/Stock)*Stock,-(vba_bs_result/Stock)*Stock,(F34-Stock-(vba_bs_result/Stock)*Stock)*1),IF((Exercise-(vba_bs_result/Stock)*Stock)-F34&lt;-(vba_bs_result/Stock)*Stock,-(vba_bs_result/Stock)*Stock,(Exercise-(vba_bs_result/Stock)*Stock)-F34))</f>
        <v>-19.961832129299381</v>
      </c>
    </row>
    <row r="35" spans="5:7" ht="15.75" customHeight="1" x14ac:dyDescent="0.2">
      <c r="E35" s="13">
        <f t="shared" si="1"/>
        <v>-68</v>
      </c>
      <c r="F35" s="57">
        <f t="shared" si="0"/>
        <v>35.129599999999996</v>
      </c>
      <c r="G35" s="58">
        <f>IF(bs_option_type="Call",IF(((F35-Stock-(vba_bs_result/Stock)*Stock))&lt;-(vba_bs_result/Stock)*Stock,-(vba_bs_result/Stock)*Stock,(F35-Stock-(vba_bs_result/Stock)*Stock)*1),IF((Exercise-(vba_bs_result/Stock)*Stock)-F35&lt;-(vba_bs_result/Stock)*Stock,-(vba_bs_result/Stock)*Stock,(Exercise-(vba_bs_result/Stock)*Stock)-F35))</f>
        <v>-19.961832129299381</v>
      </c>
    </row>
    <row r="36" spans="5:7" ht="15.75" customHeight="1" x14ac:dyDescent="0.2">
      <c r="E36" s="13">
        <f t="shared" si="1"/>
        <v>-67</v>
      </c>
      <c r="F36" s="57">
        <f t="shared" si="0"/>
        <v>36.227400000000003</v>
      </c>
      <c r="G36" s="58">
        <f>IF(bs_option_type="Call",IF(((F36-Stock-(vba_bs_result/Stock)*Stock))&lt;-(vba_bs_result/Stock)*Stock,-(vba_bs_result/Stock)*Stock,(F36-Stock-(vba_bs_result/Stock)*Stock)*1),IF((Exercise-(vba_bs_result/Stock)*Stock)-F36&lt;-(vba_bs_result/Stock)*Stock,-(vba_bs_result/Stock)*Stock,(Exercise-(vba_bs_result/Stock)*Stock)-F36))</f>
        <v>-19.961832129299381</v>
      </c>
    </row>
    <row r="37" spans="5:7" ht="15.75" customHeight="1" x14ac:dyDescent="0.2">
      <c r="E37" s="13">
        <f t="shared" si="1"/>
        <v>-66</v>
      </c>
      <c r="F37" s="57">
        <f t="shared" si="0"/>
        <v>37.325199999999995</v>
      </c>
      <c r="G37" s="58">
        <f>IF(bs_option_type="Call",IF(((F37-Stock-(vba_bs_result/Stock)*Stock))&lt;-(vba_bs_result/Stock)*Stock,-(vba_bs_result/Stock)*Stock,(F37-Stock-(vba_bs_result/Stock)*Stock)*1),IF((Exercise-(vba_bs_result/Stock)*Stock)-F37&lt;-(vba_bs_result/Stock)*Stock,-(vba_bs_result/Stock)*Stock,(Exercise-(vba_bs_result/Stock)*Stock)-F37))</f>
        <v>-19.961832129299381</v>
      </c>
    </row>
    <row r="38" spans="5:7" ht="15.75" customHeight="1" x14ac:dyDescent="0.2">
      <c r="E38" s="13">
        <f t="shared" si="1"/>
        <v>-65</v>
      </c>
      <c r="F38" s="57">
        <f t="shared" si="0"/>
        <v>38.423000000000002</v>
      </c>
      <c r="G38" s="58">
        <f>IF(bs_option_type="Call",IF(((F38-Stock-(vba_bs_result/Stock)*Stock))&lt;-(vba_bs_result/Stock)*Stock,-(vba_bs_result/Stock)*Stock,(F38-Stock-(vba_bs_result/Stock)*Stock)*1),IF((Exercise-(vba_bs_result/Stock)*Stock)-F38&lt;-(vba_bs_result/Stock)*Stock,-(vba_bs_result/Stock)*Stock,(Exercise-(vba_bs_result/Stock)*Stock)-F38))</f>
        <v>-19.961832129299381</v>
      </c>
    </row>
    <row r="39" spans="5:7" ht="15.75" customHeight="1" x14ac:dyDescent="0.2">
      <c r="E39" s="13">
        <f t="shared" si="1"/>
        <v>-64</v>
      </c>
      <c r="F39" s="57">
        <f t="shared" si="0"/>
        <v>39.520799999999994</v>
      </c>
      <c r="G39" s="58">
        <f>IF(bs_option_type="Call",IF(((F39-Stock-(vba_bs_result/Stock)*Stock))&lt;-(vba_bs_result/Stock)*Stock,-(vba_bs_result/Stock)*Stock,(F39-Stock-(vba_bs_result/Stock)*Stock)*1),IF((Exercise-(vba_bs_result/Stock)*Stock)-F39&lt;-(vba_bs_result/Stock)*Stock,-(vba_bs_result/Stock)*Stock,(Exercise-(vba_bs_result/Stock)*Stock)-F39))</f>
        <v>-19.961832129299381</v>
      </c>
    </row>
    <row r="40" spans="5:7" ht="15.75" customHeight="1" x14ac:dyDescent="0.2">
      <c r="E40" s="13">
        <f t="shared" si="1"/>
        <v>-63</v>
      </c>
      <c r="F40" s="57">
        <f t="shared" si="0"/>
        <v>40.618600000000001</v>
      </c>
      <c r="G40" s="58">
        <f>IF(bs_option_type="Call",IF(((F40-Stock-(vba_bs_result/Stock)*Stock))&lt;-(vba_bs_result/Stock)*Stock,-(vba_bs_result/Stock)*Stock,(F40-Stock-(vba_bs_result/Stock)*Stock)*1),IF((Exercise-(vba_bs_result/Stock)*Stock)-F40&lt;-(vba_bs_result/Stock)*Stock,-(vba_bs_result/Stock)*Stock,(Exercise-(vba_bs_result/Stock)*Stock)-F40))</f>
        <v>-19.961832129299381</v>
      </c>
    </row>
    <row r="41" spans="5:7" ht="15.75" customHeight="1" x14ac:dyDescent="0.2">
      <c r="E41" s="13">
        <f t="shared" si="1"/>
        <v>-62</v>
      </c>
      <c r="F41" s="57">
        <f t="shared" si="0"/>
        <v>41.716400000000007</v>
      </c>
      <c r="G41" s="58">
        <f>IF(bs_option_type="Call",IF(((F41-Stock-(vba_bs_result/Stock)*Stock))&lt;-(vba_bs_result/Stock)*Stock,-(vba_bs_result/Stock)*Stock,(F41-Stock-(vba_bs_result/Stock)*Stock)*1),IF((Exercise-(vba_bs_result/Stock)*Stock)-F41&lt;-(vba_bs_result/Stock)*Stock,-(vba_bs_result/Stock)*Stock,(Exercise-(vba_bs_result/Stock)*Stock)-F41))</f>
        <v>-19.961832129299381</v>
      </c>
    </row>
    <row r="42" spans="5:7" ht="15.75" customHeight="1" x14ac:dyDescent="0.2">
      <c r="E42" s="13">
        <f t="shared" si="1"/>
        <v>-61</v>
      </c>
      <c r="F42" s="57">
        <f t="shared" si="0"/>
        <v>42.8142</v>
      </c>
      <c r="G42" s="58">
        <f>IF(bs_option_type="Call",IF(((F42-Stock-(vba_bs_result/Stock)*Stock))&lt;-(vba_bs_result/Stock)*Stock,-(vba_bs_result/Stock)*Stock,(F42-Stock-(vba_bs_result/Stock)*Stock)*1),IF((Exercise-(vba_bs_result/Stock)*Stock)-F42&lt;-(vba_bs_result/Stock)*Stock,-(vba_bs_result/Stock)*Stock,(Exercise-(vba_bs_result/Stock)*Stock)-F42))</f>
        <v>-19.961832129299381</v>
      </c>
    </row>
    <row r="43" spans="5:7" ht="15.75" customHeight="1" x14ac:dyDescent="0.2">
      <c r="E43" s="13">
        <f t="shared" si="1"/>
        <v>-60</v>
      </c>
      <c r="F43" s="57">
        <f t="shared" si="0"/>
        <v>43.912000000000006</v>
      </c>
      <c r="G43" s="58">
        <f>IF(bs_option_type="Call",IF(((F43-Stock-(vba_bs_result/Stock)*Stock))&lt;-(vba_bs_result/Stock)*Stock,-(vba_bs_result/Stock)*Stock,(F43-Stock-(vba_bs_result/Stock)*Stock)*1),IF((Exercise-(vba_bs_result/Stock)*Stock)-F43&lt;-(vba_bs_result/Stock)*Stock,-(vba_bs_result/Stock)*Stock,(Exercise-(vba_bs_result/Stock)*Stock)-F43))</f>
        <v>-19.961832129299381</v>
      </c>
    </row>
    <row r="44" spans="5:7" ht="15.75" customHeight="1" x14ac:dyDescent="0.2">
      <c r="E44" s="13">
        <f t="shared" si="1"/>
        <v>-59</v>
      </c>
      <c r="F44" s="57">
        <f t="shared" si="0"/>
        <v>45.009799999999998</v>
      </c>
      <c r="G44" s="58">
        <f>IF(bs_option_type="Call",IF(((F44-Stock-(vba_bs_result/Stock)*Stock))&lt;-(vba_bs_result/Stock)*Stock,-(vba_bs_result/Stock)*Stock,(F44-Stock-(vba_bs_result/Stock)*Stock)*1),IF((Exercise-(vba_bs_result/Stock)*Stock)-F44&lt;-(vba_bs_result/Stock)*Stock,-(vba_bs_result/Stock)*Stock,(Exercise-(vba_bs_result/Stock)*Stock)-F44))</f>
        <v>-19.961832129299381</v>
      </c>
    </row>
    <row r="45" spans="5:7" ht="15.75" customHeight="1" x14ac:dyDescent="0.2">
      <c r="E45" s="13">
        <f t="shared" si="1"/>
        <v>-58</v>
      </c>
      <c r="F45" s="57">
        <f t="shared" si="0"/>
        <v>46.107600000000005</v>
      </c>
      <c r="G45" s="58">
        <f>IF(bs_option_type="Call",IF(((F45-Stock-(vba_bs_result/Stock)*Stock))&lt;-(vba_bs_result/Stock)*Stock,-(vba_bs_result/Stock)*Stock,(F45-Stock-(vba_bs_result/Stock)*Stock)*1),IF((Exercise-(vba_bs_result/Stock)*Stock)-F45&lt;-(vba_bs_result/Stock)*Stock,-(vba_bs_result/Stock)*Stock,(Exercise-(vba_bs_result/Stock)*Stock)-F45))</f>
        <v>-19.961832129299381</v>
      </c>
    </row>
    <row r="46" spans="5:7" ht="15.75" customHeight="1" x14ac:dyDescent="0.2">
      <c r="E46" s="13">
        <f t="shared" si="1"/>
        <v>-57</v>
      </c>
      <c r="F46" s="57">
        <f t="shared" si="0"/>
        <v>47.205400000000004</v>
      </c>
      <c r="G46" s="58">
        <f>IF(bs_option_type="Call",IF(((F46-Stock-(vba_bs_result/Stock)*Stock))&lt;-(vba_bs_result/Stock)*Stock,-(vba_bs_result/Stock)*Stock,(F46-Stock-(vba_bs_result/Stock)*Stock)*1),IF((Exercise-(vba_bs_result/Stock)*Stock)-F46&lt;-(vba_bs_result/Stock)*Stock,-(vba_bs_result/Stock)*Stock,(Exercise-(vba_bs_result/Stock)*Stock)-F46))</f>
        <v>-19.961832129299381</v>
      </c>
    </row>
    <row r="47" spans="5:7" ht="15.75" customHeight="1" x14ac:dyDescent="0.2">
      <c r="E47" s="13">
        <f t="shared" si="1"/>
        <v>-56</v>
      </c>
      <c r="F47" s="57">
        <f t="shared" si="0"/>
        <v>48.303199999999997</v>
      </c>
      <c r="G47" s="58">
        <f>IF(bs_option_type="Call",IF(((F47-Stock-(vba_bs_result/Stock)*Stock))&lt;-(vba_bs_result/Stock)*Stock,-(vba_bs_result/Stock)*Stock,(F47-Stock-(vba_bs_result/Stock)*Stock)*1),IF((Exercise-(vba_bs_result/Stock)*Stock)-F47&lt;-(vba_bs_result/Stock)*Stock,-(vba_bs_result/Stock)*Stock,(Exercise-(vba_bs_result/Stock)*Stock)-F47))</f>
        <v>-19.961832129299381</v>
      </c>
    </row>
    <row r="48" spans="5:7" ht="15.75" customHeight="1" x14ac:dyDescent="0.2">
      <c r="E48" s="13">
        <f t="shared" si="1"/>
        <v>-55</v>
      </c>
      <c r="F48" s="57">
        <f t="shared" si="0"/>
        <v>49.400999999999996</v>
      </c>
      <c r="G48" s="58">
        <f>IF(bs_option_type="Call",IF(((F48-Stock-(vba_bs_result/Stock)*Stock))&lt;-(vba_bs_result/Stock)*Stock,-(vba_bs_result/Stock)*Stock,(F48-Stock-(vba_bs_result/Stock)*Stock)*1),IF((Exercise-(vba_bs_result/Stock)*Stock)-F48&lt;-(vba_bs_result/Stock)*Stock,-(vba_bs_result/Stock)*Stock,(Exercise-(vba_bs_result/Stock)*Stock)-F48))</f>
        <v>-19.961832129299381</v>
      </c>
    </row>
    <row r="49" spans="5:7" ht="15.75" customHeight="1" x14ac:dyDescent="0.2">
      <c r="E49" s="13">
        <f t="shared" si="1"/>
        <v>-54</v>
      </c>
      <c r="F49" s="57">
        <f t="shared" si="0"/>
        <v>50.498799999999996</v>
      </c>
      <c r="G49" s="58">
        <f>IF(bs_option_type="Call",IF(((F49-Stock-(vba_bs_result/Stock)*Stock))&lt;-(vba_bs_result/Stock)*Stock,-(vba_bs_result/Stock)*Stock,(F49-Stock-(vba_bs_result/Stock)*Stock)*1),IF((Exercise-(vba_bs_result/Stock)*Stock)-F49&lt;-(vba_bs_result/Stock)*Stock,-(vba_bs_result/Stock)*Stock,(Exercise-(vba_bs_result/Stock)*Stock)-F49))</f>
        <v>-19.961832129299381</v>
      </c>
    </row>
    <row r="50" spans="5:7" ht="15.75" customHeight="1" x14ac:dyDescent="0.2">
      <c r="E50" s="13">
        <f t="shared" si="1"/>
        <v>-53</v>
      </c>
      <c r="F50" s="57">
        <f t="shared" si="0"/>
        <v>51.596599999999995</v>
      </c>
      <c r="G50" s="58">
        <f>IF(bs_option_type="Call",IF(((F50-Stock-(vba_bs_result/Stock)*Stock))&lt;-(vba_bs_result/Stock)*Stock,-(vba_bs_result/Stock)*Stock,(F50-Stock-(vba_bs_result/Stock)*Stock)*1),IF((Exercise-(vba_bs_result/Stock)*Stock)-F50&lt;-(vba_bs_result/Stock)*Stock,-(vba_bs_result/Stock)*Stock,(Exercise-(vba_bs_result/Stock)*Stock)-F50))</f>
        <v>-19.961832129299381</v>
      </c>
    </row>
    <row r="51" spans="5:7" ht="15.75" customHeight="1" x14ac:dyDescent="0.2">
      <c r="E51" s="13">
        <f t="shared" si="1"/>
        <v>-52</v>
      </c>
      <c r="F51" s="57">
        <f t="shared" si="0"/>
        <v>52.694400000000002</v>
      </c>
      <c r="G51" s="58">
        <f>IF(bs_option_type="Call",IF(((F51-Stock-(vba_bs_result/Stock)*Stock))&lt;-(vba_bs_result/Stock)*Stock,-(vba_bs_result/Stock)*Stock,(F51-Stock-(vba_bs_result/Stock)*Stock)*1),IF((Exercise-(vba_bs_result/Stock)*Stock)-F51&lt;-(vba_bs_result/Stock)*Stock,-(vba_bs_result/Stock)*Stock,(Exercise-(vba_bs_result/Stock)*Stock)-F51))</f>
        <v>-19.961832129299381</v>
      </c>
    </row>
    <row r="52" spans="5:7" ht="15.75" customHeight="1" x14ac:dyDescent="0.2">
      <c r="E52" s="13">
        <f t="shared" si="1"/>
        <v>-51</v>
      </c>
      <c r="F52" s="57">
        <f t="shared" si="0"/>
        <v>53.792200000000001</v>
      </c>
      <c r="G52" s="58">
        <f>IF(bs_option_type="Call",IF(((F52-Stock-(vba_bs_result/Stock)*Stock))&lt;-(vba_bs_result/Stock)*Stock,-(vba_bs_result/Stock)*Stock,(F52-Stock-(vba_bs_result/Stock)*Stock)*1),IF((Exercise-(vba_bs_result/Stock)*Stock)-F52&lt;-(vba_bs_result/Stock)*Stock,-(vba_bs_result/Stock)*Stock,(Exercise-(vba_bs_result/Stock)*Stock)-F52))</f>
        <v>-19.961832129299381</v>
      </c>
    </row>
    <row r="53" spans="5:7" ht="15.75" customHeight="1" x14ac:dyDescent="0.2">
      <c r="E53" s="13">
        <f t="shared" si="1"/>
        <v>-50</v>
      </c>
      <c r="F53" s="57">
        <f t="shared" si="0"/>
        <v>54.89</v>
      </c>
      <c r="G53" s="58">
        <f>IF(bs_option_type="Call",IF(((F53-Stock-(vba_bs_result/Stock)*Stock))&lt;-(vba_bs_result/Stock)*Stock,-(vba_bs_result/Stock)*Stock,(F53-Stock-(vba_bs_result/Stock)*Stock)*1),IF((Exercise-(vba_bs_result/Stock)*Stock)-F53&lt;-(vba_bs_result/Stock)*Stock,-(vba_bs_result/Stock)*Stock,(Exercise-(vba_bs_result/Stock)*Stock)-F53))</f>
        <v>-19.961832129299381</v>
      </c>
    </row>
    <row r="54" spans="5:7" ht="15.75" customHeight="1" x14ac:dyDescent="0.2">
      <c r="E54" s="13">
        <f t="shared" si="1"/>
        <v>-49</v>
      </c>
      <c r="F54" s="57">
        <f t="shared" si="0"/>
        <v>55.9878</v>
      </c>
      <c r="G54" s="58">
        <f>IF(bs_option_type="Call",IF(((F54-Stock-(vba_bs_result/Stock)*Stock))&lt;-(vba_bs_result/Stock)*Stock,-(vba_bs_result/Stock)*Stock,(F54-Stock-(vba_bs_result/Stock)*Stock)*1),IF((Exercise-(vba_bs_result/Stock)*Stock)-F54&lt;-(vba_bs_result/Stock)*Stock,-(vba_bs_result/Stock)*Stock,(Exercise-(vba_bs_result/Stock)*Stock)-F54))</f>
        <v>-19.961832129299381</v>
      </c>
    </row>
    <row r="55" spans="5:7" ht="15.75" customHeight="1" x14ac:dyDescent="0.2">
      <c r="E55" s="13">
        <f t="shared" si="1"/>
        <v>-48</v>
      </c>
      <c r="F55" s="57">
        <f t="shared" si="0"/>
        <v>57.085599999999999</v>
      </c>
      <c r="G55" s="58">
        <f>IF(bs_option_type="Call",IF(((F55-Stock-(vba_bs_result/Stock)*Stock))&lt;-(vba_bs_result/Stock)*Stock,-(vba_bs_result/Stock)*Stock,(F55-Stock-(vba_bs_result/Stock)*Stock)*1),IF((Exercise-(vba_bs_result/Stock)*Stock)-F55&lt;-(vba_bs_result/Stock)*Stock,-(vba_bs_result/Stock)*Stock,(Exercise-(vba_bs_result/Stock)*Stock)-F55))</f>
        <v>-19.961832129299381</v>
      </c>
    </row>
    <row r="56" spans="5:7" ht="15.75" customHeight="1" x14ac:dyDescent="0.2">
      <c r="E56" s="13">
        <f t="shared" si="1"/>
        <v>-47</v>
      </c>
      <c r="F56" s="57">
        <f t="shared" si="0"/>
        <v>58.183400000000006</v>
      </c>
      <c r="G56" s="58">
        <f>IF(bs_option_type="Call",IF(((F56-Stock-(vba_bs_result/Stock)*Stock))&lt;-(vba_bs_result/Stock)*Stock,-(vba_bs_result/Stock)*Stock,(F56-Stock-(vba_bs_result/Stock)*Stock)*1),IF((Exercise-(vba_bs_result/Stock)*Stock)-F56&lt;-(vba_bs_result/Stock)*Stock,-(vba_bs_result/Stock)*Stock,(Exercise-(vba_bs_result/Stock)*Stock)-F56))</f>
        <v>-19.961832129299381</v>
      </c>
    </row>
    <row r="57" spans="5:7" ht="15.75" customHeight="1" x14ac:dyDescent="0.2">
      <c r="E57" s="13">
        <f t="shared" si="1"/>
        <v>-46</v>
      </c>
      <c r="F57" s="57">
        <f t="shared" si="0"/>
        <v>59.281199999999998</v>
      </c>
      <c r="G57" s="58">
        <f>IF(bs_option_type="Call",IF(((F57-Stock-(vba_bs_result/Stock)*Stock))&lt;-(vba_bs_result/Stock)*Stock,-(vba_bs_result/Stock)*Stock,(F57-Stock-(vba_bs_result/Stock)*Stock)*1),IF((Exercise-(vba_bs_result/Stock)*Stock)-F57&lt;-(vba_bs_result/Stock)*Stock,-(vba_bs_result/Stock)*Stock,(Exercise-(vba_bs_result/Stock)*Stock)-F57))</f>
        <v>-19.961832129299381</v>
      </c>
    </row>
    <row r="58" spans="5:7" ht="15.75" customHeight="1" x14ac:dyDescent="0.2">
      <c r="E58" s="13">
        <f t="shared" si="1"/>
        <v>-45</v>
      </c>
      <c r="F58" s="57">
        <f t="shared" si="0"/>
        <v>60.378999999999998</v>
      </c>
      <c r="G58" s="58">
        <f>IF(bs_option_type="Call",IF(((F58-Stock-(vba_bs_result/Stock)*Stock))&lt;-(vba_bs_result/Stock)*Stock,-(vba_bs_result/Stock)*Stock,(F58-Stock-(vba_bs_result/Stock)*Stock)*1),IF((Exercise-(vba_bs_result/Stock)*Stock)-F58&lt;-(vba_bs_result/Stock)*Stock,-(vba_bs_result/Stock)*Stock,(Exercise-(vba_bs_result/Stock)*Stock)-F58))</f>
        <v>-19.961832129299381</v>
      </c>
    </row>
    <row r="59" spans="5:7" ht="15.75" customHeight="1" x14ac:dyDescent="0.2">
      <c r="E59" s="13">
        <f t="shared" si="1"/>
        <v>-44</v>
      </c>
      <c r="F59" s="57">
        <f t="shared" si="0"/>
        <v>61.476799999999997</v>
      </c>
      <c r="G59" s="58">
        <f>IF(bs_option_type="Call",IF(((F59-Stock-(vba_bs_result/Stock)*Stock))&lt;-(vba_bs_result/Stock)*Stock,-(vba_bs_result/Stock)*Stock,(F59-Stock-(vba_bs_result/Stock)*Stock)*1),IF((Exercise-(vba_bs_result/Stock)*Stock)-F59&lt;-(vba_bs_result/Stock)*Stock,-(vba_bs_result/Stock)*Stock,(Exercise-(vba_bs_result/Stock)*Stock)-F59))</f>
        <v>-19.961832129299381</v>
      </c>
    </row>
    <row r="60" spans="5:7" ht="15.75" customHeight="1" x14ac:dyDescent="0.2">
      <c r="E60" s="13">
        <f t="shared" si="1"/>
        <v>-43</v>
      </c>
      <c r="F60" s="57">
        <f t="shared" si="0"/>
        <v>62.574600000000004</v>
      </c>
      <c r="G60" s="58">
        <f>IF(bs_option_type="Call",IF(((F60-Stock-(vba_bs_result/Stock)*Stock))&lt;-(vba_bs_result/Stock)*Stock,-(vba_bs_result/Stock)*Stock,(F60-Stock-(vba_bs_result/Stock)*Stock)*1),IF((Exercise-(vba_bs_result/Stock)*Stock)-F60&lt;-(vba_bs_result/Stock)*Stock,-(vba_bs_result/Stock)*Stock,(Exercise-(vba_bs_result/Stock)*Stock)-F60))</f>
        <v>-19.961832129299381</v>
      </c>
    </row>
    <row r="61" spans="5:7" ht="15.75" customHeight="1" x14ac:dyDescent="0.2">
      <c r="E61" s="13">
        <f t="shared" si="1"/>
        <v>-42</v>
      </c>
      <c r="F61" s="57">
        <f t="shared" si="0"/>
        <v>63.672400000000003</v>
      </c>
      <c r="G61" s="58">
        <f>IF(bs_option_type="Call",IF(((F61-Stock-(vba_bs_result/Stock)*Stock))&lt;-(vba_bs_result/Stock)*Stock,-(vba_bs_result/Stock)*Stock,(F61-Stock-(vba_bs_result/Stock)*Stock)*1),IF((Exercise-(vba_bs_result/Stock)*Stock)-F61&lt;-(vba_bs_result/Stock)*Stock,-(vba_bs_result/Stock)*Stock,(Exercise-(vba_bs_result/Stock)*Stock)-F61))</f>
        <v>-19.961832129299381</v>
      </c>
    </row>
    <row r="62" spans="5:7" ht="15.75" customHeight="1" x14ac:dyDescent="0.2">
      <c r="E62" s="13">
        <f t="shared" si="1"/>
        <v>-41</v>
      </c>
      <c r="F62" s="57">
        <f t="shared" si="0"/>
        <v>64.770200000000003</v>
      </c>
      <c r="G62" s="58">
        <f>IF(bs_option_type="Call",IF(((F62-Stock-(vba_bs_result/Stock)*Stock))&lt;-(vba_bs_result/Stock)*Stock,-(vba_bs_result/Stock)*Stock,(F62-Stock-(vba_bs_result/Stock)*Stock)*1),IF((Exercise-(vba_bs_result/Stock)*Stock)-F62&lt;-(vba_bs_result/Stock)*Stock,-(vba_bs_result/Stock)*Stock,(Exercise-(vba_bs_result/Stock)*Stock)-F62))</f>
        <v>-19.961832129299381</v>
      </c>
    </row>
    <row r="63" spans="5:7" ht="15.75" customHeight="1" x14ac:dyDescent="0.2">
      <c r="E63" s="13">
        <f t="shared" si="1"/>
        <v>-40</v>
      </c>
      <c r="F63" s="57">
        <f t="shared" si="0"/>
        <v>65.867999999999995</v>
      </c>
      <c r="G63" s="58">
        <f>IF(bs_option_type="Call",IF(((F63-Stock-(vba_bs_result/Stock)*Stock))&lt;-(vba_bs_result/Stock)*Stock,-(vba_bs_result/Stock)*Stock,(F63-Stock-(vba_bs_result/Stock)*Stock)*1),IF((Exercise-(vba_bs_result/Stock)*Stock)-F63&lt;-(vba_bs_result/Stock)*Stock,-(vba_bs_result/Stock)*Stock,(Exercise-(vba_bs_result/Stock)*Stock)-F63))</f>
        <v>-19.961832129299381</v>
      </c>
    </row>
    <row r="64" spans="5:7" ht="15.75" customHeight="1" x14ac:dyDescent="0.2">
      <c r="E64" s="13">
        <f t="shared" si="1"/>
        <v>-39</v>
      </c>
      <c r="F64" s="57">
        <f t="shared" si="0"/>
        <v>66.965800000000002</v>
      </c>
      <c r="G64" s="58">
        <f>IF(bs_option_type="Call",IF(((F64-Stock-(vba_bs_result/Stock)*Stock))&lt;-(vba_bs_result/Stock)*Stock,-(vba_bs_result/Stock)*Stock,(F64-Stock-(vba_bs_result/Stock)*Stock)*1),IF((Exercise-(vba_bs_result/Stock)*Stock)-F64&lt;-(vba_bs_result/Stock)*Stock,-(vba_bs_result/Stock)*Stock,(Exercise-(vba_bs_result/Stock)*Stock)-F64))</f>
        <v>-19.961832129299381</v>
      </c>
    </row>
    <row r="65" spans="5:7" ht="15.75" customHeight="1" x14ac:dyDescent="0.2">
      <c r="E65" s="13">
        <f t="shared" si="1"/>
        <v>-38</v>
      </c>
      <c r="F65" s="57">
        <f t="shared" si="0"/>
        <v>68.063600000000008</v>
      </c>
      <c r="G65" s="58">
        <f>IF(bs_option_type="Call",IF(((F65-Stock-(vba_bs_result/Stock)*Stock))&lt;-(vba_bs_result/Stock)*Stock,-(vba_bs_result/Stock)*Stock,(F65-Stock-(vba_bs_result/Stock)*Stock)*1),IF((Exercise-(vba_bs_result/Stock)*Stock)-F65&lt;-(vba_bs_result/Stock)*Stock,-(vba_bs_result/Stock)*Stock,(Exercise-(vba_bs_result/Stock)*Stock)-F65))</f>
        <v>-19.961832129299381</v>
      </c>
    </row>
    <row r="66" spans="5:7" ht="15.75" customHeight="1" x14ac:dyDescent="0.2">
      <c r="E66" s="13">
        <f t="shared" si="1"/>
        <v>-37</v>
      </c>
      <c r="F66" s="57">
        <f t="shared" si="0"/>
        <v>69.1614</v>
      </c>
      <c r="G66" s="58">
        <f>IF(bs_option_type="Call",IF(((F66-Stock-(vba_bs_result/Stock)*Stock))&lt;-(vba_bs_result/Stock)*Stock,-(vba_bs_result/Stock)*Stock,(F66-Stock-(vba_bs_result/Stock)*Stock)*1),IF((Exercise-(vba_bs_result/Stock)*Stock)-F66&lt;-(vba_bs_result/Stock)*Stock,-(vba_bs_result/Stock)*Stock,(Exercise-(vba_bs_result/Stock)*Stock)-F66))</f>
        <v>-19.961832129299381</v>
      </c>
    </row>
    <row r="67" spans="5:7" ht="15.75" customHeight="1" x14ac:dyDescent="0.2">
      <c r="E67" s="13">
        <f t="shared" si="1"/>
        <v>-36</v>
      </c>
      <c r="F67" s="57">
        <f t="shared" ref="F67:F130" si="2">Stock+(E67/100)*Stock</f>
        <v>70.259199999999993</v>
      </c>
      <c r="G67" s="58">
        <f>IF(bs_option_type="Call",IF(((F67-Stock-(vba_bs_result/Stock)*Stock))&lt;-(vba_bs_result/Stock)*Stock,-(vba_bs_result/Stock)*Stock,(F67-Stock-(vba_bs_result/Stock)*Stock)*1),IF((Exercise-(vba_bs_result/Stock)*Stock)-F67&lt;-(vba_bs_result/Stock)*Stock,-(vba_bs_result/Stock)*Stock,(Exercise-(vba_bs_result/Stock)*Stock)-F67))</f>
        <v>-19.961832129299381</v>
      </c>
    </row>
    <row r="68" spans="5:7" ht="15.75" customHeight="1" x14ac:dyDescent="0.2">
      <c r="E68" s="13">
        <f t="shared" si="1"/>
        <v>-35</v>
      </c>
      <c r="F68" s="57">
        <f t="shared" si="2"/>
        <v>71.356999999999999</v>
      </c>
      <c r="G68" s="58">
        <f>IF(bs_option_type="Call",IF(((F68-Stock-(vba_bs_result/Stock)*Stock))&lt;-(vba_bs_result/Stock)*Stock,-(vba_bs_result/Stock)*Stock,(F68-Stock-(vba_bs_result/Stock)*Stock)*1),IF((Exercise-(vba_bs_result/Stock)*Stock)-F68&lt;-(vba_bs_result/Stock)*Stock,-(vba_bs_result/Stock)*Stock,(Exercise-(vba_bs_result/Stock)*Stock)-F68))</f>
        <v>-19.961832129299381</v>
      </c>
    </row>
    <row r="69" spans="5:7" ht="15.75" customHeight="1" x14ac:dyDescent="0.2">
      <c r="E69" s="13">
        <f t="shared" si="1"/>
        <v>-34</v>
      </c>
      <c r="F69" s="57">
        <f t="shared" si="2"/>
        <v>72.454800000000006</v>
      </c>
      <c r="G69" s="58">
        <f>IF(bs_option_type="Call",IF(((F69-Stock-(vba_bs_result/Stock)*Stock))&lt;-(vba_bs_result/Stock)*Stock,-(vba_bs_result/Stock)*Stock,(F69-Stock-(vba_bs_result/Stock)*Stock)*1),IF((Exercise-(vba_bs_result/Stock)*Stock)-F69&lt;-(vba_bs_result/Stock)*Stock,-(vba_bs_result/Stock)*Stock,(Exercise-(vba_bs_result/Stock)*Stock)-F69))</f>
        <v>-19.961832129299381</v>
      </c>
    </row>
    <row r="70" spans="5:7" ht="15.75" customHeight="1" x14ac:dyDescent="0.2">
      <c r="E70" s="13">
        <f t="shared" si="1"/>
        <v>-33</v>
      </c>
      <c r="F70" s="57">
        <f t="shared" si="2"/>
        <v>73.552599999999998</v>
      </c>
      <c r="G70" s="58">
        <f>IF(bs_option_type="Call",IF(((F70-Stock-(vba_bs_result/Stock)*Stock))&lt;-(vba_bs_result/Stock)*Stock,-(vba_bs_result/Stock)*Stock,(F70-Stock-(vba_bs_result/Stock)*Stock)*1),IF((Exercise-(vba_bs_result/Stock)*Stock)-F70&lt;-(vba_bs_result/Stock)*Stock,-(vba_bs_result/Stock)*Stock,(Exercise-(vba_bs_result/Stock)*Stock)-F70))</f>
        <v>-19.961832129299381</v>
      </c>
    </row>
    <row r="71" spans="5:7" ht="15.75" customHeight="1" x14ac:dyDescent="0.2">
      <c r="E71" s="13">
        <f t="shared" si="1"/>
        <v>-32</v>
      </c>
      <c r="F71" s="57">
        <f t="shared" si="2"/>
        <v>74.650399999999991</v>
      </c>
      <c r="G71" s="58">
        <f>IF(bs_option_type="Call",IF(((F71-Stock-(vba_bs_result/Stock)*Stock))&lt;-(vba_bs_result/Stock)*Stock,-(vba_bs_result/Stock)*Stock,(F71-Stock-(vba_bs_result/Stock)*Stock)*1),IF((Exercise-(vba_bs_result/Stock)*Stock)-F71&lt;-(vba_bs_result/Stock)*Stock,-(vba_bs_result/Stock)*Stock,(Exercise-(vba_bs_result/Stock)*Stock)-F71))</f>
        <v>-19.961832129299381</v>
      </c>
    </row>
    <row r="72" spans="5:7" ht="15.75" customHeight="1" x14ac:dyDescent="0.2">
      <c r="E72" s="13">
        <f t="shared" si="1"/>
        <v>-31</v>
      </c>
      <c r="F72" s="57">
        <f t="shared" si="2"/>
        <v>75.748199999999997</v>
      </c>
      <c r="G72" s="58">
        <f>IF(bs_option_type="Call",IF(((F72-Stock-(vba_bs_result/Stock)*Stock))&lt;-(vba_bs_result/Stock)*Stock,-(vba_bs_result/Stock)*Stock,(F72-Stock-(vba_bs_result/Stock)*Stock)*1),IF((Exercise-(vba_bs_result/Stock)*Stock)-F72&lt;-(vba_bs_result/Stock)*Stock,-(vba_bs_result/Stock)*Stock,(Exercise-(vba_bs_result/Stock)*Stock)-F72))</f>
        <v>-19.961832129299381</v>
      </c>
    </row>
    <row r="73" spans="5:7" ht="15.75" customHeight="1" x14ac:dyDescent="0.2">
      <c r="E73" s="13">
        <f t="shared" si="1"/>
        <v>-30</v>
      </c>
      <c r="F73" s="57">
        <f t="shared" si="2"/>
        <v>76.846000000000004</v>
      </c>
      <c r="G73" s="58">
        <f>IF(bs_option_type="Call",IF(((F73-Stock-(vba_bs_result/Stock)*Stock))&lt;-(vba_bs_result/Stock)*Stock,-(vba_bs_result/Stock)*Stock,(F73-Stock-(vba_bs_result/Stock)*Stock)*1),IF((Exercise-(vba_bs_result/Stock)*Stock)-F73&lt;-(vba_bs_result/Stock)*Stock,-(vba_bs_result/Stock)*Stock,(Exercise-(vba_bs_result/Stock)*Stock)-F73))</f>
        <v>-19.961832129299381</v>
      </c>
    </row>
    <row r="74" spans="5:7" ht="15.75" customHeight="1" x14ac:dyDescent="0.2">
      <c r="E74" s="13">
        <f t="shared" si="1"/>
        <v>-29</v>
      </c>
      <c r="F74" s="57">
        <f t="shared" si="2"/>
        <v>77.94380000000001</v>
      </c>
      <c r="G74" s="58">
        <f>IF(bs_option_type="Call",IF(((F74-Stock-(vba_bs_result/Stock)*Stock))&lt;-(vba_bs_result/Stock)*Stock,-(vba_bs_result/Stock)*Stock,(F74-Stock-(vba_bs_result/Stock)*Stock)*1),IF((Exercise-(vba_bs_result/Stock)*Stock)-F74&lt;-(vba_bs_result/Stock)*Stock,-(vba_bs_result/Stock)*Stock,(Exercise-(vba_bs_result/Stock)*Stock)-F74))</f>
        <v>-19.961832129299381</v>
      </c>
    </row>
    <row r="75" spans="5:7" ht="15.75" customHeight="1" x14ac:dyDescent="0.2">
      <c r="E75" s="13">
        <f t="shared" si="1"/>
        <v>-28</v>
      </c>
      <c r="F75" s="57">
        <f t="shared" si="2"/>
        <v>79.041600000000003</v>
      </c>
      <c r="G75" s="58">
        <f>IF(bs_option_type="Call",IF(((F75-Stock-(vba_bs_result/Stock)*Stock))&lt;-(vba_bs_result/Stock)*Stock,-(vba_bs_result/Stock)*Stock,(F75-Stock-(vba_bs_result/Stock)*Stock)*1),IF((Exercise-(vba_bs_result/Stock)*Stock)-F75&lt;-(vba_bs_result/Stock)*Stock,-(vba_bs_result/Stock)*Stock,(Exercise-(vba_bs_result/Stock)*Stock)-F75))</f>
        <v>-19.961832129299381</v>
      </c>
    </row>
    <row r="76" spans="5:7" ht="15.75" customHeight="1" x14ac:dyDescent="0.2">
      <c r="E76" s="13">
        <f t="shared" si="1"/>
        <v>-27</v>
      </c>
      <c r="F76" s="57">
        <f t="shared" si="2"/>
        <v>80.139399999999995</v>
      </c>
      <c r="G76" s="58">
        <f>IF(bs_option_type="Call",IF(((F76-Stock-(vba_bs_result/Stock)*Stock))&lt;-(vba_bs_result/Stock)*Stock,-(vba_bs_result/Stock)*Stock,(F76-Stock-(vba_bs_result/Stock)*Stock)*1),IF((Exercise-(vba_bs_result/Stock)*Stock)-F76&lt;-(vba_bs_result/Stock)*Stock,-(vba_bs_result/Stock)*Stock,(Exercise-(vba_bs_result/Stock)*Stock)-F76))</f>
        <v>-19.961832129299381</v>
      </c>
    </row>
    <row r="77" spans="5:7" ht="15.75" customHeight="1" x14ac:dyDescent="0.2">
      <c r="E77" s="13">
        <f t="shared" si="1"/>
        <v>-26</v>
      </c>
      <c r="F77" s="57">
        <f t="shared" si="2"/>
        <v>81.237200000000001</v>
      </c>
      <c r="G77" s="58">
        <f>IF(bs_option_type="Call",IF(((F77-Stock-(vba_bs_result/Stock)*Stock))&lt;-(vba_bs_result/Stock)*Stock,-(vba_bs_result/Stock)*Stock,(F77-Stock-(vba_bs_result/Stock)*Stock)*1),IF((Exercise-(vba_bs_result/Stock)*Stock)-F77&lt;-(vba_bs_result/Stock)*Stock,-(vba_bs_result/Stock)*Stock,(Exercise-(vba_bs_result/Stock)*Stock)-F77))</f>
        <v>-19.961832129299381</v>
      </c>
    </row>
    <row r="78" spans="5:7" ht="15.75" customHeight="1" x14ac:dyDescent="0.2">
      <c r="E78" s="13">
        <f t="shared" si="1"/>
        <v>-25</v>
      </c>
      <c r="F78" s="57">
        <f t="shared" si="2"/>
        <v>82.335000000000008</v>
      </c>
      <c r="G78" s="58">
        <f>IF(bs_option_type="Call",IF(((F78-Stock-(vba_bs_result/Stock)*Stock))&lt;-(vba_bs_result/Stock)*Stock,-(vba_bs_result/Stock)*Stock,(F78-Stock-(vba_bs_result/Stock)*Stock)*1),IF((Exercise-(vba_bs_result/Stock)*Stock)-F78&lt;-(vba_bs_result/Stock)*Stock,-(vba_bs_result/Stock)*Stock,(Exercise-(vba_bs_result/Stock)*Stock)-F78))</f>
        <v>-19.961832129299381</v>
      </c>
    </row>
    <row r="79" spans="5:7" ht="15.75" customHeight="1" x14ac:dyDescent="0.2">
      <c r="E79" s="13">
        <f t="shared" si="1"/>
        <v>-24</v>
      </c>
      <c r="F79" s="57">
        <f t="shared" si="2"/>
        <v>83.4328</v>
      </c>
      <c r="G79" s="58">
        <f>IF(bs_option_type="Call",IF(((F79-Stock-(vba_bs_result/Stock)*Stock))&lt;-(vba_bs_result/Stock)*Stock,-(vba_bs_result/Stock)*Stock,(F79-Stock-(vba_bs_result/Stock)*Stock)*1),IF((Exercise-(vba_bs_result/Stock)*Stock)-F79&lt;-(vba_bs_result/Stock)*Stock,-(vba_bs_result/Stock)*Stock,(Exercise-(vba_bs_result/Stock)*Stock)-F79))</f>
        <v>-19.961832129299381</v>
      </c>
    </row>
    <row r="80" spans="5:7" ht="15.75" customHeight="1" x14ac:dyDescent="0.2">
      <c r="E80" s="13">
        <f t="shared" si="1"/>
        <v>-23</v>
      </c>
      <c r="F80" s="57">
        <f t="shared" si="2"/>
        <v>84.530599999999993</v>
      </c>
      <c r="G80" s="58">
        <f>IF(bs_option_type="Call",IF(((F80-Stock-(vba_bs_result/Stock)*Stock))&lt;-(vba_bs_result/Stock)*Stock,-(vba_bs_result/Stock)*Stock,(F80-Stock-(vba_bs_result/Stock)*Stock)*1),IF((Exercise-(vba_bs_result/Stock)*Stock)-F80&lt;-(vba_bs_result/Stock)*Stock,-(vba_bs_result/Stock)*Stock,(Exercise-(vba_bs_result/Stock)*Stock)-F80))</f>
        <v>-19.961832129299381</v>
      </c>
    </row>
    <row r="81" spans="5:7" ht="15.75" customHeight="1" x14ac:dyDescent="0.2">
      <c r="E81" s="13">
        <f t="shared" si="1"/>
        <v>-22</v>
      </c>
      <c r="F81" s="57">
        <f t="shared" si="2"/>
        <v>85.628399999999999</v>
      </c>
      <c r="G81" s="58">
        <f>IF(bs_option_type="Call",IF(((F81-Stock-(vba_bs_result/Stock)*Stock))&lt;-(vba_bs_result/Stock)*Stock,-(vba_bs_result/Stock)*Stock,(F81-Stock-(vba_bs_result/Stock)*Stock)*1),IF((Exercise-(vba_bs_result/Stock)*Stock)-F81&lt;-(vba_bs_result/Stock)*Stock,-(vba_bs_result/Stock)*Stock,(Exercise-(vba_bs_result/Stock)*Stock)-F81))</f>
        <v>-19.961832129299381</v>
      </c>
    </row>
    <row r="82" spans="5:7" ht="15.75" customHeight="1" x14ac:dyDescent="0.2">
      <c r="E82" s="13">
        <f t="shared" si="1"/>
        <v>-21</v>
      </c>
      <c r="F82" s="57">
        <f t="shared" si="2"/>
        <v>86.726200000000006</v>
      </c>
      <c r="G82" s="58">
        <f>IF(bs_option_type="Call",IF(((F82-Stock-(vba_bs_result/Stock)*Stock))&lt;-(vba_bs_result/Stock)*Stock,-(vba_bs_result/Stock)*Stock,(F82-Stock-(vba_bs_result/Stock)*Stock)*1),IF((Exercise-(vba_bs_result/Stock)*Stock)-F82&lt;-(vba_bs_result/Stock)*Stock,-(vba_bs_result/Stock)*Stock,(Exercise-(vba_bs_result/Stock)*Stock)-F82))</f>
        <v>-19.961832129299381</v>
      </c>
    </row>
    <row r="83" spans="5:7" ht="15.75" customHeight="1" x14ac:dyDescent="0.2">
      <c r="E83" s="13">
        <f t="shared" si="1"/>
        <v>-20</v>
      </c>
      <c r="F83" s="57">
        <f t="shared" si="2"/>
        <v>87.823999999999998</v>
      </c>
      <c r="G83" s="58">
        <f>IF(bs_option_type="Call",IF(((F83-Stock-(vba_bs_result/Stock)*Stock))&lt;-(vba_bs_result/Stock)*Stock,-(vba_bs_result/Stock)*Stock,(F83-Stock-(vba_bs_result/Stock)*Stock)*1),IF((Exercise-(vba_bs_result/Stock)*Stock)-F83&lt;-(vba_bs_result/Stock)*Stock,-(vba_bs_result/Stock)*Stock,(Exercise-(vba_bs_result/Stock)*Stock)-F83))</f>
        <v>-19.961832129299381</v>
      </c>
    </row>
    <row r="84" spans="5:7" ht="15.75" customHeight="1" x14ac:dyDescent="0.2">
      <c r="E84" s="13">
        <f t="shared" si="1"/>
        <v>-19</v>
      </c>
      <c r="F84" s="57">
        <f t="shared" si="2"/>
        <v>88.921800000000005</v>
      </c>
      <c r="G84" s="58">
        <f>IF(bs_option_type="Call",IF(((F84-Stock-(vba_bs_result/Stock)*Stock))&lt;-(vba_bs_result/Stock)*Stock,-(vba_bs_result/Stock)*Stock,(F84-Stock-(vba_bs_result/Stock)*Stock)*1),IF((Exercise-(vba_bs_result/Stock)*Stock)-F84&lt;-(vba_bs_result/Stock)*Stock,-(vba_bs_result/Stock)*Stock,(Exercise-(vba_bs_result/Stock)*Stock)-F84))</f>
        <v>-19.961832129299381</v>
      </c>
    </row>
    <row r="85" spans="5:7" ht="15.75" customHeight="1" x14ac:dyDescent="0.2">
      <c r="E85" s="13">
        <f t="shared" si="1"/>
        <v>-18</v>
      </c>
      <c r="F85" s="57">
        <f t="shared" si="2"/>
        <v>90.019599999999997</v>
      </c>
      <c r="G85" s="58">
        <f>IF(bs_option_type="Call",IF(((F85-Stock-(vba_bs_result/Stock)*Stock))&lt;-(vba_bs_result/Stock)*Stock,-(vba_bs_result/Stock)*Stock,(F85-Stock-(vba_bs_result/Stock)*Stock)*1),IF((Exercise-(vba_bs_result/Stock)*Stock)-F85&lt;-(vba_bs_result/Stock)*Stock,-(vba_bs_result/Stock)*Stock,(Exercise-(vba_bs_result/Stock)*Stock)-F85))</f>
        <v>-19.961832129299381</v>
      </c>
    </row>
    <row r="86" spans="5:7" ht="15.75" customHeight="1" x14ac:dyDescent="0.2">
      <c r="E86" s="13">
        <f t="shared" si="1"/>
        <v>-17</v>
      </c>
      <c r="F86" s="57">
        <f t="shared" si="2"/>
        <v>91.117400000000004</v>
      </c>
      <c r="G86" s="58">
        <f>IF(bs_option_type="Call",IF(((F86-Stock-(vba_bs_result/Stock)*Stock))&lt;-(vba_bs_result/Stock)*Stock,-(vba_bs_result/Stock)*Stock,(F86-Stock-(vba_bs_result/Stock)*Stock)*1),IF((Exercise-(vba_bs_result/Stock)*Stock)-F86&lt;-(vba_bs_result/Stock)*Stock,-(vba_bs_result/Stock)*Stock,(Exercise-(vba_bs_result/Stock)*Stock)-F86))</f>
        <v>-19.961832129299381</v>
      </c>
    </row>
    <row r="87" spans="5:7" ht="15.75" customHeight="1" x14ac:dyDescent="0.2">
      <c r="E87" s="13">
        <f t="shared" si="1"/>
        <v>-16</v>
      </c>
      <c r="F87" s="57">
        <f t="shared" si="2"/>
        <v>92.215199999999996</v>
      </c>
      <c r="G87" s="58">
        <f>IF(bs_option_type="Call",IF(((F87-Stock-(vba_bs_result/Stock)*Stock))&lt;-(vba_bs_result/Stock)*Stock,-(vba_bs_result/Stock)*Stock,(F87-Stock-(vba_bs_result/Stock)*Stock)*1),IF((Exercise-(vba_bs_result/Stock)*Stock)-F87&lt;-(vba_bs_result/Stock)*Stock,-(vba_bs_result/Stock)*Stock,(Exercise-(vba_bs_result/Stock)*Stock)-F87))</f>
        <v>-19.961832129299381</v>
      </c>
    </row>
    <row r="88" spans="5:7" ht="15.75" customHeight="1" x14ac:dyDescent="0.2">
      <c r="E88" s="13">
        <f t="shared" si="1"/>
        <v>-15</v>
      </c>
      <c r="F88" s="57">
        <f t="shared" si="2"/>
        <v>93.313000000000002</v>
      </c>
      <c r="G88" s="58">
        <f>IF(bs_option_type="Call",IF(((F88-Stock-(vba_bs_result/Stock)*Stock))&lt;-(vba_bs_result/Stock)*Stock,-(vba_bs_result/Stock)*Stock,(F88-Stock-(vba_bs_result/Stock)*Stock)*1),IF((Exercise-(vba_bs_result/Stock)*Stock)-F88&lt;-(vba_bs_result/Stock)*Stock,-(vba_bs_result/Stock)*Stock,(Exercise-(vba_bs_result/Stock)*Stock)-F88))</f>
        <v>-19.961832129299381</v>
      </c>
    </row>
    <row r="89" spans="5:7" ht="15.75" customHeight="1" x14ac:dyDescent="0.2">
      <c r="E89" s="13">
        <f t="shared" si="1"/>
        <v>-14</v>
      </c>
      <c r="F89" s="57">
        <f t="shared" si="2"/>
        <v>94.410799999999995</v>
      </c>
      <c r="G89" s="58">
        <f>IF(bs_option_type="Call",IF(((F89-Stock-(vba_bs_result/Stock)*Stock))&lt;-(vba_bs_result/Stock)*Stock,-(vba_bs_result/Stock)*Stock,(F89-Stock-(vba_bs_result/Stock)*Stock)*1),IF((Exercise-(vba_bs_result/Stock)*Stock)-F89&lt;-(vba_bs_result/Stock)*Stock,-(vba_bs_result/Stock)*Stock,(Exercise-(vba_bs_result/Stock)*Stock)-F89))</f>
        <v>-19.961832129299381</v>
      </c>
    </row>
    <row r="90" spans="5:7" ht="15.75" customHeight="1" x14ac:dyDescent="0.2">
      <c r="E90" s="13">
        <f t="shared" si="1"/>
        <v>-13</v>
      </c>
      <c r="F90" s="57">
        <f t="shared" si="2"/>
        <v>95.508600000000001</v>
      </c>
      <c r="G90" s="58">
        <f>IF(bs_option_type="Call",IF(((F90-Stock-(vba_bs_result/Stock)*Stock))&lt;-(vba_bs_result/Stock)*Stock,-(vba_bs_result/Stock)*Stock,(F90-Stock-(vba_bs_result/Stock)*Stock)*1),IF((Exercise-(vba_bs_result/Stock)*Stock)-F90&lt;-(vba_bs_result/Stock)*Stock,-(vba_bs_result/Stock)*Stock,(Exercise-(vba_bs_result/Stock)*Stock)-F90))</f>
        <v>-19.961832129299381</v>
      </c>
    </row>
    <row r="91" spans="5:7" ht="15.75" customHeight="1" x14ac:dyDescent="0.2">
      <c r="E91" s="13">
        <f t="shared" si="1"/>
        <v>-12</v>
      </c>
      <c r="F91" s="57">
        <f t="shared" si="2"/>
        <v>96.606400000000008</v>
      </c>
      <c r="G91" s="58">
        <f>IF(bs_option_type="Call",IF(((F91-Stock-(vba_bs_result/Stock)*Stock))&lt;-(vba_bs_result/Stock)*Stock,-(vba_bs_result/Stock)*Stock,(F91-Stock-(vba_bs_result/Stock)*Stock)*1),IF((Exercise-(vba_bs_result/Stock)*Stock)-F91&lt;-(vba_bs_result/Stock)*Stock,-(vba_bs_result/Stock)*Stock,(Exercise-(vba_bs_result/Stock)*Stock)-F91))</f>
        <v>-19.961832129299381</v>
      </c>
    </row>
    <row r="92" spans="5:7" ht="15.75" customHeight="1" x14ac:dyDescent="0.2">
      <c r="E92" s="13">
        <f t="shared" si="1"/>
        <v>-11</v>
      </c>
      <c r="F92" s="57">
        <f t="shared" si="2"/>
        <v>97.7042</v>
      </c>
      <c r="G92" s="58">
        <f>IF(bs_option_type="Call",IF(((F92-Stock-(vba_bs_result/Stock)*Stock))&lt;-(vba_bs_result/Stock)*Stock,-(vba_bs_result/Stock)*Stock,(F92-Stock-(vba_bs_result/Stock)*Stock)*1),IF((Exercise-(vba_bs_result/Stock)*Stock)-F92&lt;-(vba_bs_result/Stock)*Stock,-(vba_bs_result/Stock)*Stock,(Exercise-(vba_bs_result/Stock)*Stock)-F92))</f>
        <v>-19.961832129299381</v>
      </c>
    </row>
    <row r="93" spans="5:7" ht="15.75" customHeight="1" x14ac:dyDescent="0.2">
      <c r="E93" s="13">
        <f t="shared" si="1"/>
        <v>-10</v>
      </c>
      <c r="F93" s="57">
        <f t="shared" si="2"/>
        <v>98.801999999999992</v>
      </c>
      <c r="G93" s="58">
        <f>IF(bs_option_type="Call",IF(((F93-Stock-(vba_bs_result/Stock)*Stock))&lt;-(vba_bs_result/Stock)*Stock,-(vba_bs_result/Stock)*Stock,(F93-Stock-(vba_bs_result/Stock)*Stock)*1),IF((Exercise-(vba_bs_result/Stock)*Stock)-F93&lt;-(vba_bs_result/Stock)*Stock,-(vba_bs_result/Stock)*Stock,(Exercise-(vba_bs_result/Stock)*Stock)-F93))</f>
        <v>-19.961832129299381</v>
      </c>
    </row>
    <row r="94" spans="5:7" ht="15.75" customHeight="1" x14ac:dyDescent="0.2">
      <c r="E94" s="13">
        <f t="shared" si="1"/>
        <v>-9</v>
      </c>
      <c r="F94" s="57">
        <f t="shared" si="2"/>
        <v>99.899799999999999</v>
      </c>
      <c r="G94" s="58">
        <f>IF(bs_option_type="Call",IF(((F94-Stock-(vba_bs_result/Stock)*Stock))&lt;-(vba_bs_result/Stock)*Stock,-(vba_bs_result/Stock)*Stock,(F94-Stock-(vba_bs_result/Stock)*Stock)*1),IF((Exercise-(vba_bs_result/Stock)*Stock)-F94&lt;-(vba_bs_result/Stock)*Stock,-(vba_bs_result/Stock)*Stock,(Exercise-(vba_bs_result/Stock)*Stock)-F94))</f>
        <v>-19.961832129299381</v>
      </c>
    </row>
    <row r="95" spans="5:7" ht="15.75" customHeight="1" x14ac:dyDescent="0.2">
      <c r="E95" s="13">
        <f t="shared" si="1"/>
        <v>-8</v>
      </c>
      <c r="F95" s="57">
        <f t="shared" si="2"/>
        <v>100.99760000000001</v>
      </c>
      <c r="G95" s="58">
        <f>IF(bs_option_type="Call",IF(((F95-Stock-(vba_bs_result/Stock)*Stock))&lt;-(vba_bs_result/Stock)*Stock,-(vba_bs_result/Stock)*Stock,(F95-Stock-(vba_bs_result/Stock)*Stock)*1),IF((Exercise-(vba_bs_result/Stock)*Stock)-F95&lt;-(vba_bs_result/Stock)*Stock,-(vba_bs_result/Stock)*Stock,(Exercise-(vba_bs_result/Stock)*Stock)-F95))</f>
        <v>-19.961832129299381</v>
      </c>
    </row>
    <row r="96" spans="5:7" ht="15.75" customHeight="1" x14ac:dyDescent="0.2">
      <c r="E96" s="13">
        <f t="shared" si="1"/>
        <v>-7</v>
      </c>
      <c r="F96" s="57">
        <f t="shared" si="2"/>
        <v>102.0954</v>
      </c>
      <c r="G96" s="58">
        <f>IF(bs_option_type="Call",IF(((F96-Stock-(vba_bs_result/Stock)*Stock))&lt;-(vba_bs_result/Stock)*Stock,-(vba_bs_result/Stock)*Stock,(F96-Stock-(vba_bs_result/Stock)*Stock)*1),IF((Exercise-(vba_bs_result/Stock)*Stock)-F96&lt;-(vba_bs_result/Stock)*Stock,-(vba_bs_result/Stock)*Stock,(Exercise-(vba_bs_result/Stock)*Stock)-F96))</f>
        <v>-19.961832129299381</v>
      </c>
    </row>
    <row r="97" spans="5:7" ht="15.75" customHeight="1" x14ac:dyDescent="0.2">
      <c r="E97" s="13">
        <f t="shared" si="1"/>
        <v>-6</v>
      </c>
      <c r="F97" s="57">
        <f t="shared" si="2"/>
        <v>103.1932</v>
      </c>
      <c r="G97" s="58">
        <f>IF(bs_option_type="Call",IF(((F97-Stock-(vba_bs_result/Stock)*Stock))&lt;-(vba_bs_result/Stock)*Stock,-(vba_bs_result/Stock)*Stock,(F97-Stock-(vba_bs_result/Stock)*Stock)*1),IF((Exercise-(vba_bs_result/Stock)*Stock)-F97&lt;-(vba_bs_result/Stock)*Stock,-(vba_bs_result/Stock)*Stock,(Exercise-(vba_bs_result/Stock)*Stock)-F97))</f>
        <v>-19.961832129299381</v>
      </c>
    </row>
    <row r="98" spans="5:7" ht="15.75" customHeight="1" x14ac:dyDescent="0.2">
      <c r="E98" s="13">
        <f t="shared" si="1"/>
        <v>-5</v>
      </c>
      <c r="F98" s="57">
        <f t="shared" si="2"/>
        <v>104.291</v>
      </c>
      <c r="G98" s="58">
        <f>IF(bs_option_type="Call",IF(((F98-Stock-(vba_bs_result/Stock)*Stock))&lt;-(vba_bs_result/Stock)*Stock,-(vba_bs_result/Stock)*Stock,(F98-Stock-(vba_bs_result/Stock)*Stock)*1),IF((Exercise-(vba_bs_result/Stock)*Stock)-F98&lt;-(vba_bs_result/Stock)*Stock,-(vba_bs_result/Stock)*Stock,(Exercise-(vba_bs_result/Stock)*Stock)-F98))</f>
        <v>-19.961832129299381</v>
      </c>
    </row>
    <row r="99" spans="5:7" ht="15.75" customHeight="1" x14ac:dyDescent="0.2">
      <c r="E99" s="13">
        <f t="shared" si="1"/>
        <v>-4</v>
      </c>
      <c r="F99" s="57">
        <f t="shared" si="2"/>
        <v>105.3888</v>
      </c>
      <c r="G99" s="58">
        <f>IF(bs_option_type="Call",IF(((F99-Stock-(vba_bs_result/Stock)*Stock))&lt;-(vba_bs_result/Stock)*Stock,-(vba_bs_result/Stock)*Stock,(F99-Stock-(vba_bs_result/Stock)*Stock)*1),IF((Exercise-(vba_bs_result/Stock)*Stock)-F99&lt;-(vba_bs_result/Stock)*Stock,-(vba_bs_result/Stock)*Stock,(Exercise-(vba_bs_result/Stock)*Stock)-F99))</f>
        <v>-19.961832129299381</v>
      </c>
    </row>
    <row r="100" spans="5:7" ht="15.75" customHeight="1" x14ac:dyDescent="0.2">
      <c r="E100" s="13">
        <f t="shared" si="1"/>
        <v>-3</v>
      </c>
      <c r="F100" s="57">
        <f t="shared" si="2"/>
        <v>106.4866</v>
      </c>
      <c r="G100" s="58">
        <f>IF(bs_option_type="Call",IF(((F100-Stock-(vba_bs_result/Stock)*Stock))&lt;-(vba_bs_result/Stock)*Stock,-(vba_bs_result/Stock)*Stock,(F100-Stock-(vba_bs_result/Stock)*Stock)*1),IF((Exercise-(vba_bs_result/Stock)*Stock)-F100&lt;-(vba_bs_result/Stock)*Stock,-(vba_bs_result/Stock)*Stock,(Exercise-(vba_bs_result/Stock)*Stock)-F100))</f>
        <v>-19.961832129299381</v>
      </c>
    </row>
    <row r="101" spans="5:7" ht="15.75" customHeight="1" x14ac:dyDescent="0.2">
      <c r="E101" s="13">
        <f t="shared" si="1"/>
        <v>-2</v>
      </c>
      <c r="F101" s="57">
        <f t="shared" si="2"/>
        <v>107.5844</v>
      </c>
      <c r="G101" s="58">
        <f>IF(bs_option_type="Call",IF(((F101-Stock-(vba_bs_result/Stock)*Stock))&lt;-(vba_bs_result/Stock)*Stock,-(vba_bs_result/Stock)*Stock,(F101-Stock-(vba_bs_result/Stock)*Stock)*1),IF((Exercise-(vba_bs_result/Stock)*Stock)-F101&lt;-(vba_bs_result/Stock)*Stock,-(vba_bs_result/Stock)*Stock,(Exercise-(vba_bs_result/Stock)*Stock)-F101))</f>
        <v>-19.961832129299381</v>
      </c>
    </row>
    <row r="102" spans="5:7" ht="15.75" customHeight="1" x14ac:dyDescent="0.2">
      <c r="E102" s="13">
        <f t="shared" si="1"/>
        <v>-1</v>
      </c>
      <c r="F102" s="57">
        <f t="shared" si="2"/>
        <v>108.68219999999999</v>
      </c>
      <c r="G102" s="58">
        <f>IF(bs_option_type="Call",IF(((F102-Stock-(vba_bs_result/Stock)*Stock))&lt;-(vba_bs_result/Stock)*Stock,-(vba_bs_result/Stock)*Stock,(F102-Stock-(vba_bs_result/Stock)*Stock)*1),IF((Exercise-(vba_bs_result/Stock)*Stock)-F102&lt;-(vba_bs_result/Stock)*Stock,-(vba_bs_result/Stock)*Stock,(Exercise-(vba_bs_result/Stock)*Stock)-F102))</f>
        <v>-19.961832129299381</v>
      </c>
    </row>
    <row r="103" spans="5:7" ht="15.75" customHeight="1" x14ac:dyDescent="0.2">
      <c r="E103" s="13">
        <f t="shared" si="1"/>
        <v>0</v>
      </c>
      <c r="F103" s="57">
        <f t="shared" si="2"/>
        <v>109.78</v>
      </c>
      <c r="G103" s="58">
        <f>IF(bs_option_type="Call",IF(((F103-Stock-(vba_bs_result/Stock)*Stock))&lt;-(vba_bs_result/Stock)*Stock,-(vba_bs_result/Stock)*Stock,(F103-Stock-(vba_bs_result/Stock)*Stock)*1),IF((Exercise-(vba_bs_result/Stock)*Stock)-F103&lt;-(vba_bs_result/Stock)*Stock,-(vba_bs_result/Stock)*Stock,(Exercise-(vba_bs_result/Stock)*Stock)-F103))</f>
        <v>-19.961832129299381</v>
      </c>
    </row>
    <row r="104" spans="5:7" ht="15.75" customHeight="1" x14ac:dyDescent="0.2">
      <c r="E104" s="13">
        <f t="shared" si="1"/>
        <v>1</v>
      </c>
      <c r="F104" s="57">
        <f t="shared" si="2"/>
        <v>110.87780000000001</v>
      </c>
      <c r="G104" s="58">
        <f>IF(bs_option_type="Call",IF(((F104-Stock-(vba_bs_result/Stock)*Stock))&lt;-(vba_bs_result/Stock)*Stock,-(vba_bs_result/Stock)*Stock,(F104-Stock-(vba_bs_result/Stock)*Stock)*1),IF((Exercise-(vba_bs_result/Stock)*Stock)-F104&lt;-(vba_bs_result/Stock)*Stock,-(vba_bs_result/Stock)*Stock,(Exercise-(vba_bs_result/Stock)*Stock)-F104))</f>
        <v>-18.864032129299375</v>
      </c>
    </row>
    <row r="105" spans="5:7" ht="15.75" customHeight="1" x14ac:dyDescent="0.2">
      <c r="E105" s="13">
        <f t="shared" si="1"/>
        <v>2</v>
      </c>
      <c r="F105" s="57">
        <f t="shared" si="2"/>
        <v>111.9756</v>
      </c>
      <c r="G105" s="58">
        <f>IF(bs_option_type="Call",IF(((F105-Stock-(vba_bs_result/Stock)*Stock))&lt;-(vba_bs_result/Stock)*Stock,-(vba_bs_result/Stock)*Stock,(F105-Stock-(vba_bs_result/Stock)*Stock)*1),IF((Exercise-(vba_bs_result/Stock)*Stock)-F105&lt;-(vba_bs_result/Stock)*Stock,-(vba_bs_result/Stock)*Stock,(Exercise-(vba_bs_result/Stock)*Stock)-F105))</f>
        <v>-17.766232129299382</v>
      </c>
    </row>
    <row r="106" spans="5:7" ht="15.75" customHeight="1" x14ac:dyDescent="0.2">
      <c r="E106" s="13">
        <f t="shared" si="1"/>
        <v>3</v>
      </c>
      <c r="F106" s="57">
        <f t="shared" si="2"/>
        <v>113.07340000000001</v>
      </c>
      <c r="G106" s="58">
        <f>IF(bs_option_type="Call",IF(((F106-Stock-(vba_bs_result/Stock)*Stock))&lt;-(vba_bs_result/Stock)*Stock,-(vba_bs_result/Stock)*Stock,(F106-Stock-(vba_bs_result/Stock)*Stock)*1),IF((Exercise-(vba_bs_result/Stock)*Stock)-F106&lt;-(vba_bs_result/Stock)*Stock,-(vba_bs_result/Stock)*Stock,(Exercise-(vba_bs_result/Stock)*Stock)-F106))</f>
        <v>-16.668432129299376</v>
      </c>
    </row>
    <row r="107" spans="5:7" ht="15.75" customHeight="1" x14ac:dyDescent="0.2">
      <c r="E107" s="13">
        <f t="shared" si="1"/>
        <v>4</v>
      </c>
      <c r="F107" s="57">
        <f t="shared" si="2"/>
        <v>114.1712</v>
      </c>
      <c r="G107" s="58">
        <f>IF(bs_option_type="Call",IF(((F107-Stock-(vba_bs_result/Stock)*Stock))&lt;-(vba_bs_result/Stock)*Stock,-(vba_bs_result/Stock)*Stock,(F107-Stock-(vba_bs_result/Stock)*Stock)*1),IF((Exercise-(vba_bs_result/Stock)*Stock)-F107&lt;-(vba_bs_result/Stock)*Stock,-(vba_bs_result/Stock)*Stock,(Exercise-(vba_bs_result/Stock)*Stock)-F107))</f>
        <v>-15.570632129299383</v>
      </c>
    </row>
    <row r="108" spans="5:7" ht="15.75" customHeight="1" x14ac:dyDescent="0.2">
      <c r="E108" s="13">
        <f t="shared" si="1"/>
        <v>5</v>
      </c>
      <c r="F108" s="57">
        <f t="shared" si="2"/>
        <v>115.26900000000001</v>
      </c>
      <c r="G108" s="58">
        <f>IF(bs_option_type="Call",IF(((F108-Stock-(vba_bs_result/Stock)*Stock))&lt;-(vba_bs_result/Stock)*Stock,-(vba_bs_result/Stock)*Stock,(F108-Stock-(vba_bs_result/Stock)*Stock)*1),IF((Exercise-(vba_bs_result/Stock)*Stock)-F108&lt;-(vba_bs_result/Stock)*Stock,-(vba_bs_result/Stock)*Stock,(Exercise-(vba_bs_result/Stock)*Stock)-F108))</f>
        <v>-14.472832129299377</v>
      </c>
    </row>
    <row r="109" spans="5:7" ht="15.75" customHeight="1" x14ac:dyDescent="0.2">
      <c r="E109" s="13">
        <f t="shared" si="1"/>
        <v>6</v>
      </c>
      <c r="F109" s="57">
        <f t="shared" si="2"/>
        <v>116.3668</v>
      </c>
      <c r="G109" s="58">
        <f>IF(bs_option_type="Call",IF(((F109-Stock-(vba_bs_result/Stock)*Stock))&lt;-(vba_bs_result/Stock)*Stock,-(vba_bs_result/Stock)*Stock,(F109-Stock-(vba_bs_result/Stock)*Stock)*1),IF((Exercise-(vba_bs_result/Stock)*Stock)-F109&lt;-(vba_bs_result/Stock)*Stock,-(vba_bs_result/Stock)*Stock,(Exercise-(vba_bs_result/Stock)*Stock)-F109))</f>
        <v>-13.375032129299385</v>
      </c>
    </row>
    <row r="110" spans="5:7" ht="15.75" customHeight="1" x14ac:dyDescent="0.2">
      <c r="E110" s="13">
        <f t="shared" si="1"/>
        <v>7</v>
      </c>
      <c r="F110" s="57">
        <f t="shared" si="2"/>
        <v>117.4646</v>
      </c>
      <c r="G110" s="58">
        <f>IF(bs_option_type="Call",IF(((F110-Stock-(vba_bs_result/Stock)*Stock))&lt;-(vba_bs_result/Stock)*Stock,-(vba_bs_result/Stock)*Stock,(F110-Stock-(vba_bs_result/Stock)*Stock)*1),IF((Exercise-(vba_bs_result/Stock)*Stock)-F110&lt;-(vba_bs_result/Stock)*Stock,-(vba_bs_result/Stock)*Stock,(Exercise-(vba_bs_result/Stock)*Stock)-F110))</f>
        <v>-12.277232129299378</v>
      </c>
    </row>
    <row r="111" spans="5:7" ht="15.75" customHeight="1" x14ac:dyDescent="0.2">
      <c r="E111" s="13">
        <f t="shared" si="1"/>
        <v>8</v>
      </c>
      <c r="F111" s="57">
        <f t="shared" si="2"/>
        <v>118.5624</v>
      </c>
      <c r="G111" s="58">
        <f>IF(bs_option_type="Call",IF(((F111-Stock-(vba_bs_result/Stock)*Stock))&lt;-(vba_bs_result/Stock)*Stock,-(vba_bs_result/Stock)*Stock,(F111-Stock-(vba_bs_result/Stock)*Stock)*1),IF((Exercise-(vba_bs_result/Stock)*Stock)-F111&lt;-(vba_bs_result/Stock)*Stock,-(vba_bs_result/Stock)*Stock,(Exercise-(vba_bs_result/Stock)*Stock)-F111))</f>
        <v>-11.179432129299386</v>
      </c>
    </row>
    <row r="112" spans="5:7" ht="15.75" customHeight="1" x14ac:dyDescent="0.2">
      <c r="E112" s="13">
        <f t="shared" si="1"/>
        <v>9</v>
      </c>
      <c r="F112" s="57">
        <f t="shared" si="2"/>
        <v>119.6602</v>
      </c>
      <c r="G112" s="58">
        <f>IF(bs_option_type="Call",IF(((F112-Stock-(vba_bs_result/Stock)*Stock))&lt;-(vba_bs_result/Stock)*Stock,-(vba_bs_result/Stock)*Stock,(F112-Stock-(vba_bs_result/Stock)*Stock)*1),IF((Exercise-(vba_bs_result/Stock)*Stock)-F112&lt;-(vba_bs_result/Stock)*Stock,-(vba_bs_result/Stock)*Stock,(Exercise-(vba_bs_result/Stock)*Stock)-F112))</f>
        <v>-10.081632129299379</v>
      </c>
    </row>
    <row r="113" spans="5:7" ht="15.75" customHeight="1" x14ac:dyDescent="0.2">
      <c r="E113" s="13">
        <f t="shared" si="1"/>
        <v>10</v>
      </c>
      <c r="F113" s="57">
        <f t="shared" si="2"/>
        <v>120.75800000000001</v>
      </c>
      <c r="G113" s="58">
        <f>IF(bs_option_type="Call",IF(((F113-Stock-(vba_bs_result/Stock)*Stock))&lt;-(vba_bs_result/Stock)*Stock,-(vba_bs_result/Stock)*Stock,(F113-Stock-(vba_bs_result/Stock)*Stock)*1),IF((Exercise-(vba_bs_result/Stock)*Stock)-F113&lt;-(vba_bs_result/Stock)*Stock,-(vba_bs_result/Stock)*Stock,(Exercise-(vba_bs_result/Stock)*Stock)-F113))</f>
        <v>-8.9838321292993726</v>
      </c>
    </row>
    <row r="114" spans="5:7" ht="15.75" customHeight="1" x14ac:dyDescent="0.2">
      <c r="E114" s="13">
        <f t="shared" si="1"/>
        <v>11</v>
      </c>
      <c r="F114" s="57">
        <f t="shared" si="2"/>
        <v>121.8558</v>
      </c>
      <c r="G114" s="58">
        <f>IF(bs_option_type="Call",IF(((F114-Stock-(vba_bs_result/Stock)*Stock))&lt;-(vba_bs_result/Stock)*Stock,-(vba_bs_result/Stock)*Stock,(F114-Stock-(vba_bs_result/Stock)*Stock)*1),IF((Exercise-(vba_bs_result/Stock)*Stock)-F114&lt;-(vba_bs_result/Stock)*Stock,-(vba_bs_result/Stock)*Stock,(Exercise-(vba_bs_result/Stock)*Stock)-F114))</f>
        <v>-7.8860321292993802</v>
      </c>
    </row>
    <row r="115" spans="5:7" ht="15.75" customHeight="1" x14ac:dyDescent="0.2">
      <c r="E115" s="13">
        <f t="shared" si="1"/>
        <v>12</v>
      </c>
      <c r="F115" s="57">
        <f t="shared" si="2"/>
        <v>122.95359999999999</v>
      </c>
      <c r="G115" s="58">
        <f>IF(bs_option_type="Call",IF(((F115-Stock-(vba_bs_result/Stock)*Stock))&lt;-(vba_bs_result/Stock)*Stock,-(vba_bs_result/Stock)*Stock,(F115-Stock-(vba_bs_result/Stock)*Stock)*1),IF((Exercise-(vba_bs_result/Stock)*Stock)-F115&lt;-(vba_bs_result/Stock)*Stock,-(vba_bs_result/Stock)*Stock,(Exercise-(vba_bs_result/Stock)*Stock)-F115))</f>
        <v>-6.7882321292993879</v>
      </c>
    </row>
    <row r="116" spans="5:7" ht="15.75" customHeight="1" x14ac:dyDescent="0.2">
      <c r="E116" s="13">
        <f t="shared" si="1"/>
        <v>13</v>
      </c>
      <c r="F116" s="57">
        <f t="shared" si="2"/>
        <v>124.0514</v>
      </c>
      <c r="G116" s="58">
        <f>IF(bs_option_type="Call",IF(((F116-Stock-(vba_bs_result/Stock)*Stock))&lt;-(vba_bs_result/Stock)*Stock,-(vba_bs_result/Stock)*Stock,(F116-Stock-(vba_bs_result/Stock)*Stock)*1),IF((Exercise-(vba_bs_result/Stock)*Stock)-F116&lt;-(vba_bs_result/Stock)*Stock,-(vba_bs_result/Stock)*Stock,(Exercise-(vba_bs_result/Stock)*Stock)-F116))</f>
        <v>-5.6904321292993814</v>
      </c>
    </row>
    <row r="117" spans="5:7" ht="15.75" customHeight="1" x14ac:dyDescent="0.2">
      <c r="E117" s="13">
        <f t="shared" si="1"/>
        <v>14</v>
      </c>
      <c r="F117" s="57">
        <f t="shared" si="2"/>
        <v>125.14920000000001</v>
      </c>
      <c r="G117" s="58">
        <f>IF(bs_option_type="Call",IF(((F117-Stock-(vba_bs_result/Stock)*Stock))&lt;-(vba_bs_result/Stock)*Stock,-(vba_bs_result/Stock)*Stock,(F117-Stock-(vba_bs_result/Stock)*Stock)*1),IF((Exercise-(vba_bs_result/Stock)*Stock)-F117&lt;-(vba_bs_result/Stock)*Stock,-(vba_bs_result/Stock)*Stock,(Exercise-(vba_bs_result/Stock)*Stock)-F117))</f>
        <v>-4.5926321292993748</v>
      </c>
    </row>
    <row r="118" spans="5:7" ht="15.75" customHeight="1" x14ac:dyDescent="0.2">
      <c r="E118" s="13">
        <f t="shared" si="1"/>
        <v>15</v>
      </c>
      <c r="F118" s="57">
        <f t="shared" si="2"/>
        <v>126.247</v>
      </c>
      <c r="G118" s="58">
        <f>IF(bs_option_type="Call",IF(((F118-Stock-(vba_bs_result/Stock)*Stock))&lt;-(vba_bs_result/Stock)*Stock,-(vba_bs_result/Stock)*Stock,(F118-Stock-(vba_bs_result/Stock)*Stock)*1),IF((Exercise-(vba_bs_result/Stock)*Stock)-F118&lt;-(vba_bs_result/Stock)*Stock,-(vba_bs_result/Stock)*Stock,(Exercise-(vba_bs_result/Stock)*Stock)-F118))</f>
        <v>-3.4948321292993825</v>
      </c>
    </row>
    <row r="119" spans="5:7" ht="15.75" customHeight="1" x14ac:dyDescent="0.2">
      <c r="E119" s="13">
        <f t="shared" si="1"/>
        <v>16</v>
      </c>
      <c r="F119" s="57">
        <f t="shared" si="2"/>
        <v>127.34480000000001</v>
      </c>
      <c r="G119" s="58">
        <f>IF(bs_option_type="Call",IF(((F119-Stock-(vba_bs_result/Stock)*Stock))&lt;-(vba_bs_result/Stock)*Stock,-(vba_bs_result/Stock)*Stock,(F119-Stock-(vba_bs_result/Stock)*Stock)*1),IF((Exercise-(vba_bs_result/Stock)*Stock)-F119&lt;-(vba_bs_result/Stock)*Stock,-(vba_bs_result/Stock)*Stock,(Exercise-(vba_bs_result/Stock)*Stock)-F119))</f>
        <v>-2.3970321292993759</v>
      </c>
    </row>
    <row r="120" spans="5:7" ht="15.75" customHeight="1" x14ac:dyDescent="0.2">
      <c r="E120" s="13">
        <f t="shared" si="1"/>
        <v>17</v>
      </c>
      <c r="F120" s="57">
        <f t="shared" si="2"/>
        <v>128.4426</v>
      </c>
      <c r="G120" s="58">
        <f>IF(bs_option_type="Call",IF(((F120-Stock-(vba_bs_result/Stock)*Stock))&lt;-(vba_bs_result/Stock)*Stock,-(vba_bs_result/Stock)*Stock,(F120-Stock-(vba_bs_result/Stock)*Stock)*1),IF((Exercise-(vba_bs_result/Stock)*Stock)-F120&lt;-(vba_bs_result/Stock)*Stock,-(vba_bs_result/Stock)*Stock,(Exercise-(vba_bs_result/Stock)*Stock)-F120))</f>
        <v>-1.2992321292993836</v>
      </c>
    </row>
    <row r="121" spans="5:7" ht="15.75" customHeight="1" x14ac:dyDescent="0.2">
      <c r="E121" s="13">
        <f t="shared" si="1"/>
        <v>18</v>
      </c>
      <c r="F121" s="57">
        <f t="shared" si="2"/>
        <v>129.54040000000001</v>
      </c>
      <c r="G121" s="58">
        <f>IF(bs_option_type="Call",IF(((F121-Stock-(vba_bs_result/Stock)*Stock))&lt;-(vba_bs_result/Stock)*Stock,-(vba_bs_result/Stock)*Stock,(F121-Stock-(vba_bs_result/Stock)*Stock)*1),IF((Exercise-(vba_bs_result/Stock)*Stock)-F121&lt;-(vba_bs_result/Stock)*Stock,-(vba_bs_result/Stock)*Stock,(Exercise-(vba_bs_result/Stock)*Stock)-F121))</f>
        <v>-0.20143212929937704</v>
      </c>
    </row>
    <row r="122" spans="5:7" ht="15.75" customHeight="1" x14ac:dyDescent="0.2">
      <c r="E122" s="13">
        <f t="shared" si="1"/>
        <v>19</v>
      </c>
      <c r="F122" s="57">
        <f t="shared" si="2"/>
        <v>130.63820000000001</v>
      </c>
      <c r="G122" s="58">
        <f>IF(bs_option_type="Call",IF(((F122-Stock-(vba_bs_result/Stock)*Stock))&lt;-(vba_bs_result/Stock)*Stock,-(vba_bs_result/Stock)*Stock,(F122-Stock-(vba_bs_result/Stock)*Stock)*1),IF((Exercise-(vba_bs_result/Stock)*Stock)-F122&lt;-(vba_bs_result/Stock)*Stock,-(vba_bs_result/Stock)*Stock,(Exercise-(vba_bs_result/Stock)*Stock)-F122))</f>
        <v>0.89636787070062951</v>
      </c>
    </row>
    <row r="123" spans="5:7" ht="15.75" customHeight="1" x14ac:dyDescent="0.2">
      <c r="E123" s="13">
        <f t="shared" si="1"/>
        <v>20</v>
      </c>
      <c r="F123" s="57">
        <f t="shared" si="2"/>
        <v>131.73599999999999</v>
      </c>
      <c r="G123" s="58">
        <f>IF(bs_option_type="Call",IF(((F123-Stock-(vba_bs_result/Stock)*Stock))&lt;-(vba_bs_result/Stock)*Stock,-(vba_bs_result/Stock)*Stock,(F123-Stock-(vba_bs_result/Stock)*Stock)*1),IF((Exercise-(vba_bs_result/Stock)*Stock)-F123&lt;-(vba_bs_result/Stock)*Stock,-(vba_bs_result/Stock)*Stock,(Exercise-(vba_bs_result/Stock)*Stock)-F123))</f>
        <v>1.9941678707006076</v>
      </c>
    </row>
    <row r="124" spans="5:7" ht="15.75" customHeight="1" x14ac:dyDescent="0.2">
      <c r="E124" s="13">
        <f t="shared" si="1"/>
        <v>21</v>
      </c>
      <c r="F124" s="57">
        <f t="shared" si="2"/>
        <v>132.8338</v>
      </c>
      <c r="G124" s="58">
        <f>IF(bs_option_type="Call",IF(((F124-Stock-(vba_bs_result/Stock)*Stock))&lt;-(vba_bs_result/Stock)*Stock,-(vba_bs_result/Stock)*Stock,(F124-Stock-(vba_bs_result/Stock)*Stock)*1),IF((Exercise-(vba_bs_result/Stock)*Stock)-F124&lt;-(vba_bs_result/Stock)*Stock,-(vba_bs_result/Stock)*Stock,(Exercise-(vba_bs_result/Stock)*Stock)-F124))</f>
        <v>3.0919678707006142</v>
      </c>
    </row>
    <row r="125" spans="5:7" ht="15.75" customHeight="1" x14ac:dyDescent="0.2">
      <c r="E125" s="13">
        <f t="shared" si="1"/>
        <v>22</v>
      </c>
      <c r="F125" s="57">
        <f t="shared" si="2"/>
        <v>133.9316</v>
      </c>
      <c r="G125" s="58">
        <f>IF(bs_option_type="Call",IF(((F125-Stock-(vba_bs_result/Stock)*Stock))&lt;-(vba_bs_result/Stock)*Stock,-(vba_bs_result/Stock)*Stock,(F125-Stock-(vba_bs_result/Stock)*Stock)*1),IF((Exercise-(vba_bs_result/Stock)*Stock)-F125&lt;-(vba_bs_result/Stock)*Stock,-(vba_bs_result/Stock)*Stock,(Exercise-(vba_bs_result/Stock)*Stock)-F125))</f>
        <v>4.1897678707006207</v>
      </c>
    </row>
    <row r="126" spans="5:7" ht="15.75" customHeight="1" x14ac:dyDescent="0.2">
      <c r="E126" s="13">
        <f t="shared" si="1"/>
        <v>23</v>
      </c>
      <c r="F126" s="57">
        <f t="shared" si="2"/>
        <v>135.02940000000001</v>
      </c>
      <c r="G126" s="58">
        <f>IF(bs_option_type="Call",IF(((F126-Stock-(vba_bs_result/Stock)*Stock))&lt;-(vba_bs_result/Stock)*Stock,-(vba_bs_result/Stock)*Stock,(F126-Stock-(vba_bs_result/Stock)*Stock)*1),IF((Exercise-(vba_bs_result/Stock)*Stock)-F126&lt;-(vba_bs_result/Stock)*Stock,-(vba_bs_result/Stock)*Stock,(Exercise-(vba_bs_result/Stock)*Stock)-F126))</f>
        <v>5.2875678707006273</v>
      </c>
    </row>
    <row r="127" spans="5:7" ht="15.75" customHeight="1" x14ac:dyDescent="0.2">
      <c r="E127" s="13">
        <f t="shared" si="1"/>
        <v>24</v>
      </c>
      <c r="F127" s="57">
        <f t="shared" si="2"/>
        <v>136.12720000000002</v>
      </c>
      <c r="G127" s="58">
        <f>IF(bs_option_type="Call",IF(((F127-Stock-(vba_bs_result/Stock)*Stock))&lt;-(vba_bs_result/Stock)*Stock,-(vba_bs_result/Stock)*Stock,(F127-Stock-(vba_bs_result/Stock)*Stock)*1),IF((Exercise-(vba_bs_result/Stock)*Stock)-F127&lt;-(vba_bs_result/Stock)*Stock,-(vba_bs_result/Stock)*Stock,(Exercise-(vba_bs_result/Stock)*Stock)-F127))</f>
        <v>6.3853678707006338</v>
      </c>
    </row>
    <row r="128" spans="5:7" ht="15.75" customHeight="1" x14ac:dyDescent="0.2">
      <c r="E128" s="13">
        <f t="shared" si="1"/>
        <v>25</v>
      </c>
      <c r="F128" s="57">
        <f t="shared" si="2"/>
        <v>137.22499999999999</v>
      </c>
      <c r="G128" s="58">
        <f>IF(bs_option_type="Call",IF(((F128-Stock-(vba_bs_result/Stock)*Stock))&lt;-(vba_bs_result/Stock)*Stock,-(vba_bs_result/Stock)*Stock,(F128-Stock-(vba_bs_result/Stock)*Stock)*1),IF((Exercise-(vba_bs_result/Stock)*Stock)-F128&lt;-(vba_bs_result/Stock)*Stock,-(vba_bs_result/Stock)*Stock,(Exercise-(vba_bs_result/Stock)*Stock)-F128))</f>
        <v>7.483167870700612</v>
      </c>
    </row>
    <row r="129" spans="5:7" ht="15.75" customHeight="1" x14ac:dyDescent="0.2">
      <c r="E129" s="13">
        <f t="shared" si="1"/>
        <v>26</v>
      </c>
      <c r="F129" s="57">
        <f t="shared" si="2"/>
        <v>138.3228</v>
      </c>
      <c r="G129" s="58">
        <f>IF(bs_option_type="Call",IF(((F129-Stock-(vba_bs_result/Stock)*Stock))&lt;-(vba_bs_result/Stock)*Stock,-(vba_bs_result/Stock)*Stock,(F129-Stock-(vba_bs_result/Stock)*Stock)*1),IF((Exercise-(vba_bs_result/Stock)*Stock)-F129&lt;-(vba_bs_result/Stock)*Stock,-(vba_bs_result/Stock)*Stock,(Exercise-(vba_bs_result/Stock)*Stock)-F129))</f>
        <v>8.5809678707006185</v>
      </c>
    </row>
    <row r="130" spans="5:7" ht="15.75" customHeight="1" x14ac:dyDescent="0.2">
      <c r="E130" s="13">
        <f t="shared" si="1"/>
        <v>27</v>
      </c>
      <c r="F130" s="57">
        <f t="shared" si="2"/>
        <v>139.42060000000001</v>
      </c>
      <c r="G130" s="58">
        <f>IF(bs_option_type="Call",IF(((F130-Stock-(vba_bs_result/Stock)*Stock))&lt;-(vba_bs_result/Stock)*Stock,-(vba_bs_result/Stock)*Stock,(F130-Stock-(vba_bs_result/Stock)*Stock)*1),IF((Exercise-(vba_bs_result/Stock)*Stock)-F130&lt;-(vba_bs_result/Stock)*Stock,-(vba_bs_result/Stock)*Stock,(Exercise-(vba_bs_result/Stock)*Stock)-F130))</f>
        <v>9.6787678707006251</v>
      </c>
    </row>
    <row r="131" spans="5:7" ht="15.75" customHeight="1" x14ac:dyDescent="0.2">
      <c r="E131" s="13">
        <f t="shared" si="1"/>
        <v>28</v>
      </c>
      <c r="F131" s="57">
        <f t="shared" ref="F131:F194" si="3">Stock+(E131/100)*Stock</f>
        <v>140.51840000000001</v>
      </c>
      <c r="G131" s="58">
        <f>IF(bs_option_type="Call",IF(((F131-Stock-(vba_bs_result/Stock)*Stock))&lt;-(vba_bs_result/Stock)*Stock,-(vba_bs_result/Stock)*Stock,(F131-Stock-(vba_bs_result/Stock)*Stock)*1),IF((Exercise-(vba_bs_result/Stock)*Stock)-F131&lt;-(vba_bs_result/Stock)*Stock,-(vba_bs_result/Stock)*Stock,(Exercise-(vba_bs_result/Stock)*Stock)-F131))</f>
        <v>10.776567870700632</v>
      </c>
    </row>
    <row r="132" spans="5:7" ht="15.75" customHeight="1" x14ac:dyDescent="0.2">
      <c r="E132" s="13">
        <f t="shared" si="1"/>
        <v>29</v>
      </c>
      <c r="F132" s="57">
        <f t="shared" si="3"/>
        <v>141.61619999999999</v>
      </c>
      <c r="G132" s="58">
        <f>IF(bs_option_type="Call",IF(((F132-Stock-(vba_bs_result/Stock)*Stock))&lt;-(vba_bs_result/Stock)*Stock,-(vba_bs_result/Stock)*Stock,(F132-Stock-(vba_bs_result/Stock)*Stock)*1),IF((Exercise-(vba_bs_result/Stock)*Stock)-F132&lt;-(vba_bs_result/Stock)*Stock,-(vba_bs_result/Stock)*Stock,(Exercise-(vba_bs_result/Stock)*Stock)-F132))</f>
        <v>11.87436787070061</v>
      </c>
    </row>
    <row r="133" spans="5:7" ht="15.75" customHeight="1" x14ac:dyDescent="0.2">
      <c r="E133" s="13">
        <f t="shared" si="1"/>
        <v>30</v>
      </c>
      <c r="F133" s="57">
        <f t="shared" si="3"/>
        <v>142.714</v>
      </c>
      <c r="G133" s="58">
        <f>IF(bs_option_type="Call",IF(((F133-Stock-(vba_bs_result/Stock)*Stock))&lt;-(vba_bs_result/Stock)*Stock,-(vba_bs_result/Stock)*Stock,(F133-Stock-(vba_bs_result/Stock)*Stock)*1),IF((Exercise-(vba_bs_result/Stock)*Stock)-F133&lt;-(vba_bs_result/Stock)*Stock,-(vba_bs_result/Stock)*Stock,(Exercise-(vba_bs_result/Stock)*Stock)-F133))</f>
        <v>12.972167870700616</v>
      </c>
    </row>
    <row r="134" spans="5:7" ht="15.75" customHeight="1" x14ac:dyDescent="0.2">
      <c r="E134" s="13">
        <f t="shared" si="1"/>
        <v>31</v>
      </c>
      <c r="F134" s="57">
        <f t="shared" si="3"/>
        <v>143.81180000000001</v>
      </c>
      <c r="G134" s="58">
        <f>IF(bs_option_type="Call",IF(((F134-Stock-(vba_bs_result/Stock)*Stock))&lt;-(vba_bs_result/Stock)*Stock,-(vba_bs_result/Stock)*Stock,(F134-Stock-(vba_bs_result/Stock)*Stock)*1),IF((Exercise-(vba_bs_result/Stock)*Stock)-F134&lt;-(vba_bs_result/Stock)*Stock,-(vba_bs_result/Stock)*Stock,(Exercise-(vba_bs_result/Stock)*Stock)-F134))</f>
        <v>14.069967870700623</v>
      </c>
    </row>
    <row r="135" spans="5:7" ht="15.75" customHeight="1" x14ac:dyDescent="0.2">
      <c r="E135" s="13">
        <f t="shared" si="1"/>
        <v>32</v>
      </c>
      <c r="F135" s="57">
        <f t="shared" si="3"/>
        <v>144.90960000000001</v>
      </c>
      <c r="G135" s="58">
        <f>IF(bs_option_type="Call",IF(((F135-Stock-(vba_bs_result/Stock)*Stock))&lt;-(vba_bs_result/Stock)*Stock,-(vba_bs_result/Stock)*Stock,(F135-Stock-(vba_bs_result/Stock)*Stock)*1),IF((Exercise-(vba_bs_result/Stock)*Stock)-F135&lt;-(vba_bs_result/Stock)*Stock,-(vba_bs_result/Stock)*Stock,(Exercise-(vba_bs_result/Stock)*Stock)-F135))</f>
        <v>15.167767870700629</v>
      </c>
    </row>
    <row r="136" spans="5:7" ht="15.75" customHeight="1" x14ac:dyDescent="0.2">
      <c r="E136" s="13">
        <f t="shared" si="1"/>
        <v>33</v>
      </c>
      <c r="F136" s="57">
        <f t="shared" si="3"/>
        <v>146.00740000000002</v>
      </c>
      <c r="G136" s="58">
        <f>IF(bs_option_type="Call",IF(((F136-Stock-(vba_bs_result/Stock)*Stock))&lt;-(vba_bs_result/Stock)*Stock,-(vba_bs_result/Stock)*Stock,(F136-Stock-(vba_bs_result/Stock)*Stock)*1),IF((Exercise-(vba_bs_result/Stock)*Stock)-F136&lt;-(vba_bs_result/Stock)*Stock,-(vba_bs_result/Stock)*Stock,(Exercise-(vba_bs_result/Stock)*Stock)-F136))</f>
        <v>16.265567870700636</v>
      </c>
    </row>
    <row r="137" spans="5:7" ht="15.75" customHeight="1" x14ac:dyDescent="0.2">
      <c r="E137" s="13">
        <f t="shared" si="1"/>
        <v>34</v>
      </c>
      <c r="F137" s="57">
        <f t="shared" si="3"/>
        <v>147.1052</v>
      </c>
      <c r="G137" s="58">
        <f>IF(bs_option_type="Call",IF(((F137-Stock-(vba_bs_result/Stock)*Stock))&lt;-(vba_bs_result/Stock)*Stock,-(vba_bs_result/Stock)*Stock,(F137-Stock-(vba_bs_result/Stock)*Stock)*1),IF((Exercise-(vba_bs_result/Stock)*Stock)-F137&lt;-(vba_bs_result/Stock)*Stock,-(vba_bs_result/Stock)*Stock,(Exercise-(vba_bs_result/Stock)*Stock)-F137))</f>
        <v>17.363367870700614</v>
      </c>
    </row>
    <row r="138" spans="5:7" ht="15.75" customHeight="1" x14ac:dyDescent="0.2">
      <c r="E138" s="13">
        <f t="shared" si="1"/>
        <v>35</v>
      </c>
      <c r="F138" s="57">
        <f t="shared" si="3"/>
        <v>148.203</v>
      </c>
      <c r="G138" s="58">
        <f>IF(bs_option_type="Call",IF(((F138-Stock-(vba_bs_result/Stock)*Stock))&lt;-(vba_bs_result/Stock)*Stock,-(vba_bs_result/Stock)*Stock,(F138-Stock-(vba_bs_result/Stock)*Stock)*1),IF((Exercise-(vba_bs_result/Stock)*Stock)-F138&lt;-(vba_bs_result/Stock)*Stock,-(vba_bs_result/Stock)*Stock,(Exercise-(vba_bs_result/Stock)*Stock)-F138))</f>
        <v>18.461167870700621</v>
      </c>
    </row>
    <row r="139" spans="5:7" ht="15.75" customHeight="1" x14ac:dyDescent="0.2">
      <c r="E139" s="13">
        <f t="shared" si="1"/>
        <v>36</v>
      </c>
      <c r="F139" s="57">
        <f t="shared" si="3"/>
        <v>149.30080000000001</v>
      </c>
      <c r="G139" s="58">
        <f>IF(bs_option_type="Call",IF(((F139-Stock-(vba_bs_result/Stock)*Stock))&lt;-(vba_bs_result/Stock)*Stock,-(vba_bs_result/Stock)*Stock,(F139-Stock-(vba_bs_result/Stock)*Stock)*1),IF((Exercise-(vba_bs_result/Stock)*Stock)-F139&lt;-(vba_bs_result/Stock)*Stock,-(vba_bs_result/Stock)*Stock,(Exercise-(vba_bs_result/Stock)*Stock)-F139))</f>
        <v>19.558967870700627</v>
      </c>
    </row>
    <row r="140" spans="5:7" ht="15.75" customHeight="1" x14ac:dyDescent="0.2">
      <c r="E140" s="13">
        <f t="shared" si="1"/>
        <v>37</v>
      </c>
      <c r="F140" s="57">
        <f t="shared" si="3"/>
        <v>150.39859999999999</v>
      </c>
      <c r="G140" s="58">
        <f>IF(bs_option_type="Call",IF(((F140-Stock-(vba_bs_result/Stock)*Stock))&lt;-(vba_bs_result/Stock)*Stock,-(vba_bs_result/Stock)*Stock,(F140-Stock-(vba_bs_result/Stock)*Stock)*1),IF((Exercise-(vba_bs_result/Stock)*Stock)-F140&lt;-(vba_bs_result/Stock)*Stock,-(vba_bs_result/Stock)*Stock,(Exercise-(vba_bs_result/Stock)*Stock)-F140))</f>
        <v>20.656767870700605</v>
      </c>
    </row>
    <row r="141" spans="5:7" ht="15.75" customHeight="1" x14ac:dyDescent="0.2">
      <c r="E141" s="13">
        <f t="shared" si="1"/>
        <v>38</v>
      </c>
      <c r="F141" s="57">
        <f t="shared" si="3"/>
        <v>151.49639999999999</v>
      </c>
      <c r="G141" s="58">
        <f>IF(bs_option_type="Call",IF(((F141-Stock-(vba_bs_result/Stock)*Stock))&lt;-(vba_bs_result/Stock)*Stock,-(vba_bs_result/Stock)*Stock,(F141-Stock-(vba_bs_result/Stock)*Stock)*1),IF((Exercise-(vba_bs_result/Stock)*Stock)-F141&lt;-(vba_bs_result/Stock)*Stock,-(vba_bs_result/Stock)*Stock,(Exercise-(vba_bs_result/Stock)*Stock)-F141))</f>
        <v>21.754567870700612</v>
      </c>
    </row>
    <row r="142" spans="5:7" ht="15.75" customHeight="1" x14ac:dyDescent="0.2">
      <c r="E142" s="13">
        <f t="shared" si="1"/>
        <v>39</v>
      </c>
      <c r="F142" s="57">
        <f t="shared" si="3"/>
        <v>152.5942</v>
      </c>
      <c r="G142" s="58">
        <f>IF(bs_option_type="Call",IF(((F142-Stock-(vba_bs_result/Stock)*Stock))&lt;-(vba_bs_result/Stock)*Stock,-(vba_bs_result/Stock)*Stock,(F142-Stock-(vba_bs_result/Stock)*Stock)*1),IF((Exercise-(vba_bs_result/Stock)*Stock)-F142&lt;-(vba_bs_result/Stock)*Stock,-(vba_bs_result/Stock)*Stock,(Exercise-(vba_bs_result/Stock)*Stock)-F142))</f>
        <v>22.852367870700618</v>
      </c>
    </row>
    <row r="143" spans="5:7" ht="15.75" customHeight="1" x14ac:dyDescent="0.2">
      <c r="E143" s="13">
        <f t="shared" si="1"/>
        <v>40</v>
      </c>
      <c r="F143" s="57">
        <f t="shared" si="3"/>
        <v>153.69200000000001</v>
      </c>
      <c r="G143" s="58">
        <f>IF(bs_option_type="Call",IF(((F143-Stock-(vba_bs_result/Stock)*Stock))&lt;-(vba_bs_result/Stock)*Stock,-(vba_bs_result/Stock)*Stock,(F143-Stock-(vba_bs_result/Stock)*Stock)*1),IF((Exercise-(vba_bs_result/Stock)*Stock)-F143&lt;-(vba_bs_result/Stock)*Stock,-(vba_bs_result/Stock)*Stock,(Exercise-(vba_bs_result/Stock)*Stock)-F143))</f>
        <v>23.950167870700625</v>
      </c>
    </row>
    <row r="144" spans="5:7" ht="15.75" customHeight="1" x14ac:dyDescent="0.2">
      <c r="E144" s="13">
        <f t="shared" si="1"/>
        <v>41</v>
      </c>
      <c r="F144" s="57">
        <f t="shared" si="3"/>
        <v>154.78980000000001</v>
      </c>
      <c r="G144" s="58">
        <f>IF(bs_option_type="Call",IF(((F144-Stock-(vba_bs_result/Stock)*Stock))&lt;-(vba_bs_result/Stock)*Stock,-(vba_bs_result/Stock)*Stock,(F144-Stock-(vba_bs_result/Stock)*Stock)*1),IF((Exercise-(vba_bs_result/Stock)*Stock)-F144&lt;-(vba_bs_result/Stock)*Stock,-(vba_bs_result/Stock)*Stock,(Exercise-(vba_bs_result/Stock)*Stock)-F144))</f>
        <v>25.047967870700631</v>
      </c>
    </row>
    <row r="145" spans="5:7" ht="15.75" customHeight="1" x14ac:dyDescent="0.2">
      <c r="E145" s="13">
        <f t="shared" si="1"/>
        <v>42</v>
      </c>
      <c r="F145" s="57">
        <f t="shared" si="3"/>
        <v>155.88759999999999</v>
      </c>
      <c r="G145" s="58">
        <f>IF(bs_option_type="Call",IF(((F145-Stock-(vba_bs_result/Stock)*Stock))&lt;-(vba_bs_result/Stock)*Stock,-(vba_bs_result/Stock)*Stock,(F145-Stock-(vba_bs_result/Stock)*Stock)*1),IF((Exercise-(vba_bs_result/Stock)*Stock)-F145&lt;-(vba_bs_result/Stock)*Stock,-(vba_bs_result/Stock)*Stock,(Exercise-(vba_bs_result/Stock)*Stock)-F145))</f>
        <v>26.14576787070061</v>
      </c>
    </row>
    <row r="146" spans="5:7" ht="15.75" customHeight="1" x14ac:dyDescent="0.2">
      <c r="E146" s="13">
        <f t="shared" si="1"/>
        <v>43</v>
      </c>
      <c r="F146" s="57">
        <f t="shared" si="3"/>
        <v>156.9854</v>
      </c>
      <c r="G146" s="58">
        <f>IF(bs_option_type="Call",IF(((F146-Stock-(vba_bs_result/Stock)*Stock))&lt;-(vba_bs_result/Stock)*Stock,-(vba_bs_result/Stock)*Stock,(F146-Stock-(vba_bs_result/Stock)*Stock)*1),IF((Exercise-(vba_bs_result/Stock)*Stock)-F146&lt;-(vba_bs_result/Stock)*Stock,-(vba_bs_result/Stock)*Stock,(Exercise-(vba_bs_result/Stock)*Stock)-F146))</f>
        <v>27.243567870700616</v>
      </c>
    </row>
    <row r="147" spans="5:7" ht="15.75" customHeight="1" x14ac:dyDescent="0.2">
      <c r="E147" s="13">
        <f t="shared" si="1"/>
        <v>44</v>
      </c>
      <c r="F147" s="57">
        <f t="shared" si="3"/>
        <v>158.08320000000001</v>
      </c>
      <c r="G147" s="58">
        <f>IF(bs_option_type="Call",IF(((F147-Stock-(vba_bs_result/Stock)*Stock))&lt;-(vba_bs_result/Stock)*Stock,-(vba_bs_result/Stock)*Stock,(F147-Stock-(vba_bs_result/Stock)*Stock)*1),IF((Exercise-(vba_bs_result/Stock)*Stock)-F147&lt;-(vba_bs_result/Stock)*Stock,-(vba_bs_result/Stock)*Stock,(Exercise-(vba_bs_result/Stock)*Stock)-F147))</f>
        <v>28.341367870700623</v>
      </c>
    </row>
    <row r="148" spans="5:7" ht="15.75" customHeight="1" x14ac:dyDescent="0.2">
      <c r="E148" s="13">
        <f t="shared" si="1"/>
        <v>45</v>
      </c>
      <c r="F148" s="57">
        <f t="shared" si="3"/>
        <v>159.18100000000001</v>
      </c>
      <c r="G148" s="58">
        <f>IF(bs_option_type="Call",IF(((F148-Stock-(vba_bs_result/Stock)*Stock))&lt;-(vba_bs_result/Stock)*Stock,-(vba_bs_result/Stock)*Stock,(F148-Stock-(vba_bs_result/Stock)*Stock)*1),IF((Exercise-(vba_bs_result/Stock)*Stock)-F148&lt;-(vba_bs_result/Stock)*Stock,-(vba_bs_result/Stock)*Stock,(Exercise-(vba_bs_result/Stock)*Stock)-F148))</f>
        <v>29.439167870700629</v>
      </c>
    </row>
    <row r="149" spans="5:7" ht="15.75" customHeight="1" x14ac:dyDescent="0.2">
      <c r="E149" s="13">
        <f t="shared" si="1"/>
        <v>46</v>
      </c>
      <c r="F149" s="57">
        <f t="shared" si="3"/>
        <v>160.27879999999999</v>
      </c>
      <c r="G149" s="58">
        <f>IF(bs_option_type="Call",IF(((F149-Stock-(vba_bs_result/Stock)*Stock))&lt;-(vba_bs_result/Stock)*Stock,-(vba_bs_result/Stock)*Stock,(F149-Stock-(vba_bs_result/Stock)*Stock)*1),IF((Exercise-(vba_bs_result/Stock)*Stock)-F149&lt;-(vba_bs_result/Stock)*Stock,-(vba_bs_result/Stock)*Stock,(Exercise-(vba_bs_result/Stock)*Stock)-F149))</f>
        <v>30.536967870700607</v>
      </c>
    </row>
    <row r="150" spans="5:7" ht="15.75" customHeight="1" x14ac:dyDescent="0.2">
      <c r="E150" s="13">
        <f t="shared" si="1"/>
        <v>47</v>
      </c>
      <c r="F150" s="57">
        <f t="shared" si="3"/>
        <v>161.3766</v>
      </c>
      <c r="G150" s="58">
        <f>IF(bs_option_type="Call",IF(((F150-Stock-(vba_bs_result/Stock)*Stock))&lt;-(vba_bs_result/Stock)*Stock,-(vba_bs_result/Stock)*Stock,(F150-Stock-(vba_bs_result/Stock)*Stock)*1),IF((Exercise-(vba_bs_result/Stock)*Stock)-F150&lt;-(vba_bs_result/Stock)*Stock,-(vba_bs_result/Stock)*Stock,(Exercise-(vba_bs_result/Stock)*Stock)-F150))</f>
        <v>31.634767870700614</v>
      </c>
    </row>
    <row r="151" spans="5:7" ht="15.75" customHeight="1" x14ac:dyDescent="0.2">
      <c r="E151" s="13">
        <f t="shared" si="1"/>
        <v>48</v>
      </c>
      <c r="F151" s="57">
        <f t="shared" si="3"/>
        <v>162.4744</v>
      </c>
      <c r="G151" s="58">
        <f>IF(bs_option_type="Call",IF(((F151-Stock-(vba_bs_result/Stock)*Stock))&lt;-(vba_bs_result/Stock)*Stock,-(vba_bs_result/Stock)*Stock,(F151-Stock-(vba_bs_result/Stock)*Stock)*1),IF((Exercise-(vba_bs_result/Stock)*Stock)-F151&lt;-(vba_bs_result/Stock)*Stock,-(vba_bs_result/Stock)*Stock,(Exercise-(vba_bs_result/Stock)*Stock)-F151))</f>
        <v>32.73256787070062</v>
      </c>
    </row>
    <row r="152" spans="5:7" ht="15.75" customHeight="1" x14ac:dyDescent="0.2">
      <c r="E152" s="13">
        <f t="shared" si="1"/>
        <v>49</v>
      </c>
      <c r="F152" s="57">
        <f t="shared" si="3"/>
        <v>163.57220000000001</v>
      </c>
      <c r="G152" s="58">
        <f>IF(bs_option_type="Call",IF(((F152-Stock-(vba_bs_result/Stock)*Stock))&lt;-(vba_bs_result/Stock)*Stock,-(vba_bs_result/Stock)*Stock,(F152-Stock-(vba_bs_result/Stock)*Stock)*1),IF((Exercise-(vba_bs_result/Stock)*Stock)-F152&lt;-(vba_bs_result/Stock)*Stock,-(vba_bs_result/Stock)*Stock,(Exercise-(vba_bs_result/Stock)*Stock)-F152))</f>
        <v>33.830367870700627</v>
      </c>
    </row>
    <row r="153" spans="5:7" ht="15.75" customHeight="1" x14ac:dyDescent="0.2">
      <c r="E153" s="13">
        <f t="shared" si="1"/>
        <v>50</v>
      </c>
      <c r="F153" s="57">
        <f t="shared" si="3"/>
        <v>164.67000000000002</v>
      </c>
      <c r="G153" s="58">
        <f>IF(bs_option_type="Call",IF(((F153-Stock-(vba_bs_result/Stock)*Stock))&lt;-(vba_bs_result/Stock)*Stock,-(vba_bs_result/Stock)*Stock,(F153-Stock-(vba_bs_result/Stock)*Stock)*1),IF((Exercise-(vba_bs_result/Stock)*Stock)-F153&lt;-(vba_bs_result/Stock)*Stock,-(vba_bs_result/Stock)*Stock,(Exercise-(vba_bs_result/Stock)*Stock)-F153))</f>
        <v>34.928167870700634</v>
      </c>
    </row>
    <row r="154" spans="5:7" ht="15.75" customHeight="1" x14ac:dyDescent="0.2">
      <c r="E154" s="13">
        <f t="shared" si="1"/>
        <v>51</v>
      </c>
      <c r="F154" s="57">
        <f t="shared" si="3"/>
        <v>165.76779999999999</v>
      </c>
      <c r="G154" s="58">
        <f>IF(bs_option_type="Call",IF(((F154-Stock-(vba_bs_result/Stock)*Stock))&lt;-(vba_bs_result/Stock)*Stock,-(vba_bs_result/Stock)*Stock,(F154-Stock-(vba_bs_result/Stock)*Stock)*1),IF((Exercise-(vba_bs_result/Stock)*Stock)-F154&lt;-(vba_bs_result/Stock)*Stock,-(vba_bs_result/Stock)*Stock,(Exercise-(vba_bs_result/Stock)*Stock)-F154))</f>
        <v>36.025967870700612</v>
      </c>
    </row>
    <row r="155" spans="5:7" ht="15.75" customHeight="1" x14ac:dyDescent="0.2">
      <c r="E155" s="13">
        <f t="shared" si="1"/>
        <v>52</v>
      </c>
      <c r="F155" s="57">
        <f t="shared" si="3"/>
        <v>166.8656</v>
      </c>
      <c r="G155" s="58">
        <f>IF(bs_option_type="Call",IF(((F155-Stock-(vba_bs_result/Stock)*Stock))&lt;-(vba_bs_result/Stock)*Stock,-(vba_bs_result/Stock)*Stock,(F155-Stock-(vba_bs_result/Stock)*Stock)*1),IF((Exercise-(vba_bs_result/Stock)*Stock)-F155&lt;-(vba_bs_result/Stock)*Stock,-(vba_bs_result/Stock)*Stock,(Exercise-(vba_bs_result/Stock)*Stock)-F155))</f>
        <v>37.123767870700618</v>
      </c>
    </row>
    <row r="156" spans="5:7" ht="15.75" customHeight="1" x14ac:dyDescent="0.2">
      <c r="E156" s="13">
        <f t="shared" si="1"/>
        <v>53</v>
      </c>
      <c r="F156" s="57">
        <f t="shared" si="3"/>
        <v>167.96340000000001</v>
      </c>
      <c r="G156" s="58">
        <f>IF(bs_option_type="Call",IF(((F156-Stock-(vba_bs_result/Stock)*Stock))&lt;-(vba_bs_result/Stock)*Stock,-(vba_bs_result/Stock)*Stock,(F156-Stock-(vba_bs_result/Stock)*Stock)*1),IF((Exercise-(vba_bs_result/Stock)*Stock)-F156&lt;-(vba_bs_result/Stock)*Stock,-(vba_bs_result/Stock)*Stock,(Exercise-(vba_bs_result/Stock)*Stock)-F156))</f>
        <v>38.221567870700625</v>
      </c>
    </row>
    <row r="157" spans="5:7" ht="15.75" customHeight="1" x14ac:dyDescent="0.2">
      <c r="E157" s="13">
        <f t="shared" si="1"/>
        <v>54</v>
      </c>
      <c r="F157" s="57">
        <f t="shared" si="3"/>
        <v>169.06120000000001</v>
      </c>
      <c r="G157" s="58">
        <f>IF(bs_option_type="Call",IF(((F157-Stock-(vba_bs_result/Stock)*Stock))&lt;-(vba_bs_result/Stock)*Stock,-(vba_bs_result/Stock)*Stock,(F157-Stock-(vba_bs_result/Stock)*Stock)*1),IF((Exercise-(vba_bs_result/Stock)*Stock)-F157&lt;-(vba_bs_result/Stock)*Stock,-(vba_bs_result/Stock)*Stock,(Exercise-(vba_bs_result/Stock)*Stock)-F157))</f>
        <v>39.319367870700631</v>
      </c>
    </row>
    <row r="158" spans="5:7" ht="15.75" customHeight="1" x14ac:dyDescent="0.2">
      <c r="E158" s="13">
        <f t="shared" si="1"/>
        <v>55</v>
      </c>
      <c r="F158" s="57">
        <f t="shared" si="3"/>
        <v>170.15899999999999</v>
      </c>
      <c r="G158" s="58">
        <f>IF(bs_option_type="Call",IF(((F158-Stock-(vba_bs_result/Stock)*Stock))&lt;-(vba_bs_result/Stock)*Stock,-(vba_bs_result/Stock)*Stock,(F158-Stock-(vba_bs_result/Stock)*Stock)*1),IF((Exercise-(vba_bs_result/Stock)*Stock)-F158&lt;-(vba_bs_result/Stock)*Stock,-(vba_bs_result/Stock)*Stock,(Exercise-(vba_bs_result/Stock)*Stock)-F158))</f>
        <v>40.417167870700609</v>
      </c>
    </row>
    <row r="159" spans="5:7" ht="15.75" customHeight="1" x14ac:dyDescent="0.2">
      <c r="E159" s="13">
        <f t="shared" si="1"/>
        <v>56</v>
      </c>
      <c r="F159" s="57">
        <f t="shared" si="3"/>
        <v>171.2568</v>
      </c>
      <c r="G159" s="58">
        <f>IF(bs_option_type="Call",IF(((F159-Stock-(vba_bs_result/Stock)*Stock))&lt;-(vba_bs_result/Stock)*Stock,-(vba_bs_result/Stock)*Stock,(F159-Stock-(vba_bs_result/Stock)*Stock)*1),IF((Exercise-(vba_bs_result/Stock)*Stock)-F159&lt;-(vba_bs_result/Stock)*Stock,-(vba_bs_result/Stock)*Stock,(Exercise-(vba_bs_result/Stock)*Stock)-F159))</f>
        <v>41.514967870700616</v>
      </c>
    </row>
    <row r="160" spans="5:7" ht="15.75" customHeight="1" x14ac:dyDescent="0.2">
      <c r="E160" s="13">
        <f t="shared" si="1"/>
        <v>57</v>
      </c>
      <c r="F160" s="57">
        <f t="shared" si="3"/>
        <v>172.3546</v>
      </c>
      <c r="G160" s="58">
        <f>IF(bs_option_type="Call",IF(((F160-Stock-(vba_bs_result/Stock)*Stock))&lt;-(vba_bs_result/Stock)*Stock,-(vba_bs_result/Stock)*Stock,(F160-Stock-(vba_bs_result/Stock)*Stock)*1),IF((Exercise-(vba_bs_result/Stock)*Stock)-F160&lt;-(vba_bs_result/Stock)*Stock,-(vba_bs_result/Stock)*Stock,(Exercise-(vba_bs_result/Stock)*Stock)-F160))</f>
        <v>42.612767870700623</v>
      </c>
    </row>
    <row r="161" spans="5:7" ht="15.75" customHeight="1" x14ac:dyDescent="0.2">
      <c r="E161" s="13">
        <f t="shared" si="1"/>
        <v>58</v>
      </c>
      <c r="F161" s="57">
        <f t="shared" si="3"/>
        <v>173.45240000000001</v>
      </c>
      <c r="G161" s="58">
        <f>IF(bs_option_type="Call",IF(((F161-Stock-(vba_bs_result/Stock)*Stock))&lt;-(vba_bs_result/Stock)*Stock,-(vba_bs_result/Stock)*Stock,(F161-Stock-(vba_bs_result/Stock)*Stock)*1),IF((Exercise-(vba_bs_result/Stock)*Stock)-F161&lt;-(vba_bs_result/Stock)*Stock,-(vba_bs_result/Stock)*Stock,(Exercise-(vba_bs_result/Stock)*Stock)-F161))</f>
        <v>43.710567870700629</v>
      </c>
    </row>
    <row r="162" spans="5:7" ht="15.75" customHeight="1" x14ac:dyDescent="0.2">
      <c r="E162" s="13">
        <f t="shared" si="1"/>
        <v>59</v>
      </c>
      <c r="F162" s="57">
        <f t="shared" si="3"/>
        <v>174.55020000000002</v>
      </c>
      <c r="G162" s="58">
        <f>IF(bs_option_type="Call",IF(((F162-Stock-(vba_bs_result/Stock)*Stock))&lt;-(vba_bs_result/Stock)*Stock,-(vba_bs_result/Stock)*Stock,(F162-Stock-(vba_bs_result/Stock)*Stock)*1),IF((Exercise-(vba_bs_result/Stock)*Stock)-F162&lt;-(vba_bs_result/Stock)*Stock,-(vba_bs_result/Stock)*Stock,(Exercise-(vba_bs_result/Stock)*Stock)-F162))</f>
        <v>44.808367870700636</v>
      </c>
    </row>
    <row r="163" spans="5:7" ht="15.75" customHeight="1" x14ac:dyDescent="0.2">
      <c r="E163" s="13">
        <f t="shared" si="1"/>
        <v>60</v>
      </c>
      <c r="F163" s="57">
        <f t="shared" si="3"/>
        <v>175.648</v>
      </c>
      <c r="G163" s="58">
        <f>IF(bs_option_type="Call",IF(((F163-Stock-(vba_bs_result/Stock)*Stock))&lt;-(vba_bs_result/Stock)*Stock,-(vba_bs_result/Stock)*Stock,(F163-Stock-(vba_bs_result/Stock)*Stock)*1),IF((Exercise-(vba_bs_result/Stock)*Stock)-F163&lt;-(vba_bs_result/Stock)*Stock,-(vba_bs_result/Stock)*Stock,(Exercise-(vba_bs_result/Stock)*Stock)-F163))</f>
        <v>45.906167870700614</v>
      </c>
    </row>
    <row r="164" spans="5:7" ht="15.75" customHeight="1" x14ac:dyDescent="0.2">
      <c r="E164" s="13">
        <f t="shared" si="1"/>
        <v>61</v>
      </c>
      <c r="F164" s="57">
        <f t="shared" si="3"/>
        <v>176.7458</v>
      </c>
      <c r="G164" s="58">
        <f>IF(bs_option_type="Call",IF(((F164-Stock-(vba_bs_result/Stock)*Stock))&lt;-(vba_bs_result/Stock)*Stock,-(vba_bs_result/Stock)*Stock,(F164-Stock-(vba_bs_result/Stock)*Stock)*1),IF((Exercise-(vba_bs_result/Stock)*Stock)-F164&lt;-(vba_bs_result/Stock)*Stock,-(vba_bs_result/Stock)*Stock,(Exercise-(vba_bs_result/Stock)*Stock)-F164))</f>
        <v>47.00396787070062</v>
      </c>
    </row>
    <row r="165" spans="5:7" ht="15.75" customHeight="1" x14ac:dyDescent="0.2">
      <c r="E165" s="13">
        <f t="shared" si="1"/>
        <v>62</v>
      </c>
      <c r="F165" s="57">
        <f t="shared" si="3"/>
        <v>177.84359999999998</v>
      </c>
      <c r="G165" s="58">
        <f>IF(bs_option_type="Call",IF(((F165-Stock-(vba_bs_result/Stock)*Stock))&lt;-(vba_bs_result/Stock)*Stock,-(vba_bs_result/Stock)*Stock,(F165-Stock-(vba_bs_result/Stock)*Stock)*1),IF((Exercise-(vba_bs_result/Stock)*Stock)-F165&lt;-(vba_bs_result/Stock)*Stock,-(vba_bs_result/Stock)*Stock,(Exercise-(vba_bs_result/Stock)*Stock)-F165))</f>
        <v>48.101767870700598</v>
      </c>
    </row>
    <row r="166" spans="5:7" ht="15.75" customHeight="1" x14ac:dyDescent="0.2">
      <c r="E166" s="13">
        <f t="shared" si="1"/>
        <v>63</v>
      </c>
      <c r="F166" s="57">
        <f t="shared" si="3"/>
        <v>178.94139999999999</v>
      </c>
      <c r="G166" s="58">
        <f>IF(bs_option_type="Call",IF(((F166-Stock-(vba_bs_result/Stock)*Stock))&lt;-(vba_bs_result/Stock)*Stock,-(vba_bs_result/Stock)*Stock,(F166-Stock-(vba_bs_result/Stock)*Stock)*1),IF((Exercise-(vba_bs_result/Stock)*Stock)-F166&lt;-(vba_bs_result/Stock)*Stock,-(vba_bs_result/Stock)*Stock,(Exercise-(vba_bs_result/Stock)*Stock)-F166))</f>
        <v>49.199567870700605</v>
      </c>
    </row>
    <row r="167" spans="5:7" ht="15.75" customHeight="1" x14ac:dyDescent="0.2">
      <c r="E167" s="13">
        <f t="shared" si="1"/>
        <v>64</v>
      </c>
      <c r="F167" s="57">
        <f t="shared" si="3"/>
        <v>180.03919999999999</v>
      </c>
      <c r="G167" s="58">
        <f>IF(bs_option_type="Call",IF(((F167-Stock-(vba_bs_result/Stock)*Stock))&lt;-(vba_bs_result/Stock)*Stock,-(vba_bs_result/Stock)*Stock,(F167-Stock-(vba_bs_result/Stock)*Stock)*1),IF((Exercise-(vba_bs_result/Stock)*Stock)-F167&lt;-(vba_bs_result/Stock)*Stock,-(vba_bs_result/Stock)*Stock,(Exercise-(vba_bs_result/Stock)*Stock)-F167))</f>
        <v>50.297367870700612</v>
      </c>
    </row>
    <row r="168" spans="5:7" ht="15.75" customHeight="1" x14ac:dyDescent="0.2">
      <c r="E168" s="13">
        <f t="shared" si="1"/>
        <v>65</v>
      </c>
      <c r="F168" s="57">
        <f t="shared" si="3"/>
        <v>181.137</v>
      </c>
      <c r="G168" s="58">
        <f>IF(bs_option_type="Call",IF(((F168-Stock-(vba_bs_result/Stock)*Stock))&lt;-(vba_bs_result/Stock)*Stock,-(vba_bs_result/Stock)*Stock,(F168-Stock-(vba_bs_result/Stock)*Stock)*1),IF((Exercise-(vba_bs_result/Stock)*Stock)-F168&lt;-(vba_bs_result/Stock)*Stock,-(vba_bs_result/Stock)*Stock,(Exercise-(vba_bs_result/Stock)*Stock)-F168))</f>
        <v>51.395167870700618</v>
      </c>
    </row>
    <row r="169" spans="5:7" ht="15.75" customHeight="1" x14ac:dyDescent="0.2">
      <c r="E169" s="13">
        <f t="shared" si="1"/>
        <v>66</v>
      </c>
      <c r="F169" s="57">
        <f t="shared" si="3"/>
        <v>182.23480000000001</v>
      </c>
      <c r="G169" s="58">
        <f>IF(bs_option_type="Call",IF(((F169-Stock-(vba_bs_result/Stock)*Stock))&lt;-(vba_bs_result/Stock)*Stock,-(vba_bs_result/Stock)*Stock,(F169-Stock-(vba_bs_result/Stock)*Stock)*1),IF((Exercise-(vba_bs_result/Stock)*Stock)-F169&lt;-(vba_bs_result/Stock)*Stock,-(vba_bs_result/Stock)*Stock,(Exercise-(vba_bs_result/Stock)*Stock)-F169))</f>
        <v>52.492967870700625</v>
      </c>
    </row>
    <row r="170" spans="5:7" ht="15.75" customHeight="1" x14ac:dyDescent="0.2">
      <c r="E170" s="13">
        <f t="shared" si="1"/>
        <v>67</v>
      </c>
      <c r="F170" s="57">
        <f t="shared" si="3"/>
        <v>183.33260000000001</v>
      </c>
      <c r="G170" s="58">
        <f>IF(bs_option_type="Call",IF(((F170-Stock-(vba_bs_result/Stock)*Stock))&lt;-(vba_bs_result/Stock)*Stock,-(vba_bs_result/Stock)*Stock,(F170-Stock-(vba_bs_result/Stock)*Stock)*1),IF((Exercise-(vba_bs_result/Stock)*Stock)-F170&lt;-(vba_bs_result/Stock)*Stock,-(vba_bs_result/Stock)*Stock,(Exercise-(vba_bs_result/Stock)*Stock)-F170))</f>
        <v>53.590767870700631</v>
      </c>
    </row>
    <row r="171" spans="5:7" ht="15.75" customHeight="1" x14ac:dyDescent="0.2">
      <c r="E171" s="13">
        <f t="shared" si="1"/>
        <v>68</v>
      </c>
      <c r="F171" s="57">
        <f t="shared" si="3"/>
        <v>184.43040000000002</v>
      </c>
      <c r="G171" s="58">
        <f>IF(bs_option_type="Call",IF(((F171-Stock-(vba_bs_result/Stock)*Stock))&lt;-(vba_bs_result/Stock)*Stock,-(vba_bs_result/Stock)*Stock,(F171-Stock-(vba_bs_result/Stock)*Stock)*1),IF((Exercise-(vba_bs_result/Stock)*Stock)-F171&lt;-(vba_bs_result/Stock)*Stock,-(vba_bs_result/Stock)*Stock,(Exercise-(vba_bs_result/Stock)*Stock)-F171))</f>
        <v>54.688567870700638</v>
      </c>
    </row>
    <row r="172" spans="5:7" ht="15.75" customHeight="1" x14ac:dyDescent="0.2">
      <c r="E172" s="13">
        <f t="shared" si="1"/>
        <v>69</v>
      </c>
      <c r="F172" s="57">
        <f t="shared" si="3"/>
        <v>185.5282</v>
      </c>
      <c r="G172" s="58">
        <f>IF(bs_option_type="Call",IF(((F172-Stock-(vba_bs_result/Stock)*Stock))&lt;-(vba_bs_result/Stock)*Stock,-(vba_bs_result/Stock)*Stock,(F172-Stock-(vba_bs_result/Stock)*Stock)*1),IF((Exercise-(vba_bs_result/Stock)*Stock)-F172&lt;-(vba_bs_result/Stock)*Stock,-(vba_bs_result/Stock)*Stock,(Exercise-(vba_bs_result/Stock)*Stock)-F172))</f>
        <v>55.786367870700616</v>
      </c>
    </row>
    <row r="173" spans="5:7" ht="15.75" customHeight="1" x14ac:dyDescent="0.2">
      <c r="E173" s="13">
        <f t="shared" si="1"/>
        <v>70</v>
      </c>
      <c r="F173" s="57">
        <f t="shared" si="3"/>
        <v>186.62599999999998</v>
      </c>
      <c r="G173" s="58">
        <f>IF(bs_option_type="Call",IF(((F173-Stock-(vba_bs_result/Stock)*Stock))&lt;-(vba_bs_result/Stock)*Stock,-(vba_bs_result/Stock)*Stock,(F173-Stock-(vba_bs_result/Stock)*Stock)*1),IF((Exercise-(vba_bs_result/Stock)*Stock)-F173&lt;-(vba_bs_result/Stock)*Stock,-(vba_bs_result/Stock)*Stock,(Exercise-(vba_bs_result/Stock)*Stock)-F173))</f>
        <v>56.884167870700594</v>
      </c>
    </row>
    <row r="174" spans="5:7" ht="15.75" customHeight="1" x14ac:dyDescent="0.2">
      <c r="E174" s="13">
        <f t="shared" si="1"/>
        <v>71</v>
      </c>
      <c r="F174" s="57">
        <f t="shared" si="3"/>
        <v>187.72379999999998</v>
      </c>
      <c r="G174" s="58">
        <f>IF(bs_option_type="Call",IF(((F174-Stock-(vba_bs_result/Stock)*Stock))&lt;-(vba_bs_result/Stock)*Stock,-(vba_bs_result/Stock)*Stock,(F174-Stock-(vba_bs_result/Stock)*Stock)*1),IF((Exercise-(vba_bs_result/Stock)*Stock)-F174&lt;-(vba_bs_result/Stock)*Stock,-(vba_bs_result/Stock)*Stock,(Exercise-(vba_bs_result/Stock)*Stock)-F174))</f>
        <v>57.981967870700601</v>
      </c>
    </row>
    <row r="175" spans="5:7" ht="15.75" customHeight="1" x14ac:dyDescent="0.2">
      <c r="E175" s="13">
        <f t="shared" si="1"/>
        <v>72</v>
      </c>
      <c r="F175" s="57">
        <f t="shared" si="3"/>
        <v>188.82159999999999</v>
      </c>
      <c r="G175" s="58">
        <f>IF(bs_option_type="Call",IF(((F175-Stock-(vba_bs_result/Stock)*Stock))&lt;-(vba_bs_result/Stock)*Stock,-(vba_bs_result/Stock)*Stock,(F175-Stock-(vba_bs_result/Stock)*Stock)*1),IF((Exercise-(vba_bs_result/Stock)*Stock)-F175&lt;-(vba_bs_result/Stock)*Stock,-(vba_bs_result/Stock)*Stock,(Exercise-(vba_bs_result/Stock)*Stock)-F175))</f>
        <v>59.079767870700607</v>
      </c>
    </row>
    <row r="176" spans="5:7" ht="15.75" customHeight="1" x14ac:dyDescent="0.2">
      <c r="E176" s="13">
        <f t="shared" si="1"/>
        <v>73</v>
      </c>
      <c r="F176" s="57">
        <f t="shared" si="3"/>
        <v>189.9194</v>
      </c>
      <c r="G176" s="58">
        <f>IF(bs_option_type="Call",IF(((F176-Stock-(vba_bs_result/Stock)*Stock))&lt;-(vba_bs_result/Stock)*Stock,-(vba_bs_result/Stock)*Stock,(F176-Stock-(vba_bs_result/Stock)*Stock)*1),IF((Exercise-(vba_bs_result/Stock)*Stock)-F176&lt;-(vba_bs_result/Stock)*Stock,-(vba_bs_result/Stock)*Stock,(Exercise-(vba_bs_result/Stock)*Stock)-F176))</f>
        <v>60.177567870700614</v>
      </c>
    </row>
    <row r="177" spans="5:7" ht="15.75" customHeight="1" x14ac:dyDescent="0.2">
      <c r="E177" s="13">
        <f t="shared" si="1"/>
        <v>74</v>
      </c>
      <c r="F177" s="57">
        <f t="shared" si="3"/>
        <v>191.0172</v>
      </c>
      <c r="G177" s="58">
        <f>IF(bs_option_type="Call",IF(((F177-Stock-(vba_bs_result/Stock)*Stock))&lt;-(vba_bs_result/Stock)*Stock,-(vba_bs_result/Stock)*Stock,(F177-Stock-(vba_bs_result/Stock)*Stock)*1),IF((Exercise-(vba_bs_result/Stock)*Stock)-F177&lt;-(vba_bs_result/Stock)*Stock,-(vba_bs_result/Stock)*Stock,(Exercise-(vba_bs_result/Stock)*Stock)-F177))</f>
        <v>61.27536787070062</v>
      </c>
    </row>
    <row r="178" spans="5:7" ht="15.75" customHeight="1" x14ac:dyDescent="0.2">
      <c r="E178" s="13">
        <f t="shared" si="1"/>
        <v>75</v>
      </c>
      <c r="F178" s="57">
        <f t="shared" si="3"/>
        <v>192.11500000000001</v>
      </c>
      <c r="G178" s="58">
        <f>IF(bs_option_type="Call",IF(((F178-Stock-(vba_bs_result/Stock)*Stock))&lt;-(vba_bs_result/Stock)*Stock,-(vba_bs_result/Stock)*Stock,(F178-Stock-(vba_bs_result/Stock)*Stock)*1),IF((Exercise-(vba_bs_result/Stock)*Stock)-F178&lt;-(vba_bs_result/Stock)*Stock,-(vba_bs_result/Stock)*Stock,(Exercise-(vba_bs_result/Stock)*Stock)-F178))</f>
        <v>62.373167870700627</v>
      </c>
    </row>
    <row r="179" spans="5:7" ht="15.75" customHeight="1" x14ac:dyDescent="0.2">
      <c r="E179" s="13">
        <f t="shared" si="1"/>
        <v>76</v>
      </c>
      <c r="F179" s="57">
        <f t="shared" si="3"/>
        <v>193.21280000000002</v>
      </c>
      <c r="G179" s="58">
        <f>IF(bs_option_type="Call",IF(((F179-Stock-(vba_bs_result/Stock)*Stock))&lt;-(vba_bs_result/Stock)*Stock,-(vba_bs_result/Stock)*Stock,(F179-Stock-(vba_bs_result/Stock)*Stock)*1),IF((Exercise-(vba_bs_result/Stock)*Stock)-F179&lt;-(vba_bs_result/Stock)*Stock,-(vba_bs_result/Stock)*Stock,(Exercise-(vba_bs_result/Stock)*Stock)-F179))</f>
        <v>63.470967870700633</v>
      </c>
    </row>
    <row r="180" spans="5:7" ht="15.75" customHeight="1" x14ac:dyDescent="0.2">
      <c r="E180" s="13">
        <f t="shared" si="1"/>
        <v>77</v>
      </c>
      <c r="F180" s="57">
        <f t="shared" si="3"/>
        <v>194.31060000000002</v>
      </c>
      <c r="G180" s="58">
        <f>IF(bs_option_type="Call",IF(((F180-Stock-(vba_bs_result/Stock)*Stock))&lt;-(vba_bs_result/Stock)*Stock,-(vba_bs_result/Stock)*Stock,(F180-Stock-(vba_bs_result/Stock)*Stock)*1),IF((Exercise-(vba_bs_result/Stock)*Stock)-F180&lt;-(vba_bs_result/Stock)*Stock,-(vba_bs_result/Stock)*Stock,(Exercise-(vba_bs_result/Stock)*Stock)-F180))</f>
        <v>64.56876787070064</v>
      </c>
    </row>
    <row r="181" spans="5:7" ht="15.75" customHeight="1" x14ac:dyDescent="0.2">
      <c r="E181" s="13">
        <f t="shared" si="1"/>
        <v>78</v>
      </c>
      <c r="F181" s="57">
        <f t="shared" si="3"/>
        <v>195.4084</v>
      </c>
      <c r="G181" s="58">
        <f>IF(bs_option_type="Call",IF(((F181-Stock-(vba_bs_result/Stock)*Stock))&lt;-(vba_bs_result/Stock)*Stock,-(vba_bs_result/Stock)*Stock,(F181-Stock-(vba_bs_result/Stock)*Stock)*1),IF((Exercise-(vba_bs_result/Stock)*Stock)-F181&lt;-(vba_bs_result/Stock)*Stock,-(vba_bs_result/Stock)*Stock,(Exercise-(vba_bs_result/Stock)*Stock)-F181))</f>
        <v>65.666567870700618</v>
      </c>
    </row>
    <row r="182" spans="5:7" ht="15.75" customHeight="1" x14ac:dyDescent="0.2">
      <c r="E182" s="13">
        <f t="shared" si="1"/>
        <v>79</v>
      </c>
      <c r="F182" s="57">
        <f t="shared" si="3"/>
        <v>196.50620000000001</v>
      </c>
      <c r="G182" s="58">
        <f>IF(bs_option_type="Call",IF(((F182-Stock-(vba_bs_result/Stock)*Stock))&lt;-(vba_bs_result/Stock)*Stock,-(vba_bs_result/Stock)*Stock,(F182-Stock-(vba_bs_result/Stock)*Stock)*1),IF((Exercise-(vba_bs_result/Stock)*Stock)-F182&lt;-(vba_bs_result/Stock)*Stock,-(vba_bs_result/Stock)*Stock,(Exercise-(vba_bs_result/Stock)*Stock)-F182))</f>
        <v>66.764367870700625</v>
      </c>
    </row>
    <row r="183" spans="5:7" ht="15.75" customHeight="1" x14ac:dyDescent="0.2">
      <c r="E183" s="13">
        <f t="shared" si="1"/>
        <v>80</v>
      </c>
      <c r="F183" s="57">
        <f t="shared" si="3"/>
        <v>197.60400000000001</v>
      </c>
      <c r="G183" s="58">
        <f>IF(bs_option_type="Call",IF(((F183-Stock-(vba_bs_result/Stock)*Stock))&lt;-(vba_bs_result/Stock)*Stock,-(vba_bs_result/Stock)*Stock,(F183-Stock-(vba_bs_result/Stock)*Stock)*1),IF((Exercise-(vba_bs_result/Stock)*Stock)-F183&lt;-(vba_bs_result/Stock)*Stock,-(vba_bs_result/Stock)*Stock,(Exercise-(vba_bs_result/Stock)*Stock)-F183))</f>
        <v>67.862167870700631</v>
      </c>
    </row>
    <row r="184" spans="5:7" ht="15.75" customHeight="1" x14ac:dyDescent="0.2">
      <c r="E184" s="13">
        <f t="shared" si="1"/>
        <v>81</v>
      </c>
      <c r="F184" s="57">
        <f t="shared" si="3"/>
        <v>198.70179999999999</v>
      </c>
      <c r="G184" s="58">
        <f>IF(bs_option_type="Call",IF(((F184-Stock-(vba_bs_result/Stock)*Stock))&lt;-(vba_bs_result/Stock)*Stock,-(vba_bs_result/Stock)*Stock,(F184-Stock-(vba_bs_result/Stock)*Stock)*1),IF((Exercise-(vba_bs_result/Stock)*Stock)-F184&lt;-(vba_bs_result/Stock)*Stock,-(vba_bs_result/Stock)*Stock,(Exercise-(vba_bs_result/Stock)*Stock)-F184))</f>
        <v>68.959967870700609</v>
      </c>
    </row>
    <row r="185" spans="5:7" ht="15.75" customHeight="1" x14ac:dyDescent="0.2">
      <c r="E185" s="13">
        <f t="shared" si="1"/>
        <v>82</v>
      </c>
      <c r="F185" s="57">
        <f t="shared" si="3"/>
        <v>199.7996</v>
      </c>
      <c r="G185" s="58">
        <f>IF(bs_option_type="Call",IF(((F185-Stock-(vba_bs_result/Stock)*Stock))&lt;-(vba_bs_result/Stock)*Stock,-(vba_bs_result/Stock)*Stock,(F185-Stock-(vba_bs_result/Stock)*Stock)*1),IF((Exercise-(vba_bs_result/Stock)*Stock)-F185&lt;-(vba_bs_result/Stock)*Stock,-(vba_bs_result/Stock)*Stock,(Exercise-(vba_bs_result/Stock)*Stock)-F185))</f>
        <v>70.057767870700616</v>
      </c>
    </row>
    <row r="186" spans="5:7" ht="15.75" customHeight="1" x14ac:dyDescent="0.2">
      <c r="E186" s="13">
        <f t="shared" si="1"/>
        <v>83</v>
      </c>
      <c r="F186" s="57">
        <f t="shared" si="3"/>
        <v>200.8974</v>
      </c>
      <c r="G186" s="58">
        <f>IF(bs_option_type="Call",IF(((F186-Stock-(vba_bs_result/Stock)*Stock))&lt;-(vba_bs_result/Stock)*Stock,-(vba_bs_result/Stock)*Stock,(F186-Stock-(vba_bs_result/Stock)*Stock)*1),IF((Exercise-(vba_bs_result/Stock)*Stock)-F186&lt;-(vba_bs_result/Stock)*Stock,-(vba_bs_result/Stock)*Stock,(Exercise-(vba_bs_result/Stock)*Stock)-F186))</f>
        <v>71.155567870700622</v>
      </c>
    </row>
    <row r="187" spans="5:7" ht="15.75" customHeight="1" x14ac:dyDescent="0.2">
      <c r="E187" s="13">
        <f t="shared" si="1"/>
        <v>84</v>
      </c>
      <c r="F187" s="57">
        <f t="shared" si="3"/>
        <v>201.99520000000001</v>
      </c>
      <c r="G187" s="58">
        <f>IF(bs_option_type="Call",IF(((F187-Stock-(vba_bs_result/Stock)*Stock))&lt;-(vba_bs_result/Stock)*Stock,-(vba_bs_result/Stock)*Stock,(F187-Stock-(vba_bs_result/Stock)*Stock)*1),IF((Exercise-(vba_bs_result/Stock)*Stock)-F187&lt;-(vba_bs_result/Stock)*Stock,-(vba_bs_result/Stock)*Stock,(Exercise-(vba_bs_result/Stock)*Stock)-F187))</f>
        <v>72.253367870700629</v>
      </c>
    </row>
    <row r="188" spans="5:7" ht="15.75" customHeight="1" x14ac:dyDescent="0.2">
      <c r="E188" s="13">
        <f t="shared" si="1"/>
        <v>85</v>
      </c>
      <c r="F188" s="57">
        <f t="shared" si="3"/>
        <v>203.09300000000002</v>
      </c>
      <c r="G188" s="58">
        <f>IF(bs_option_type="Call",IF(((F188-Stock-(vba_bs_result/Stock)*Stock))&lt;-(vba_bs_result/Stock)*Stock,-(vba_bs_result/Stock)*Stock,(F188-Stock-(vba_bs_result/Stock)*Stock)*1),IF((Exercise-(vba_bs_result/Stock)*Stock)-F188&lt;-(vba_bs_result/Stock)*Stock,-(vba_bs_result/Stock)*Stock,(Exercise-(vba_bs_result/Stock)*Stock)-F188))</f>
        <v>73.351167870700635</v>
      </c>
    </row>
    <row r="189" spans="5:7" ht="15.75" customHeight="1" x14ac:dyDescent="0.2">
      <c r="E189" s="13">
        <f t="shared" si="1"/>
        <v>86</v>
      </c>
      <c r="F189" s="57">
        <f t="shared" si="3"/>
        <v>204.1908</v>
      </c>
      <c r="G189" s="58">
        <f>IF(bs_option_type="Call",IF(((F189-Stock-(vba_bs_result/Stock)*Stock))&lt;-(vba_bs_result/Stock)*Stock,-(vba_bs_result/Stock)*Stock,(F189-Stock-(vba_bs_result/Stock)*Stock)*1),IF((Exercise-(vba_bs_result/Stock)*Stock)-F189&lt;-(vba_bs_result/Stock)*Stock,-(vba_bs_result/Stock)*Stock,(Exercise-(vba_bs_result/Stock)*Stock)-F189))</f>
        <v>74.448967870700614</v>
      </c>
    </row>
    <row r="190" spans="5:7" ht="15.75" customHeight="1" x14ac:dyDescent="0.2">
      <c r="E190" s="13">
        <f t="shared" si="1"/>
        <v>87</v>
      </c>
      <c r="F190" s="57">
        <f t="shared" si="3"/>
        <v>205.2886</v>
      </c>
      <c r="G190" s="58">
        <f>IF(bs_option_type="Call",IF(((F190-Stock-(vba_bs_result/Stock)*Stock))&lt;-(vba_bs_result/Stock)*Stock,-(vba_bs_result/Stock)*Stock,(F190-Stock-(vba_bs_result/Stock)*Stock)*1),IF((Exercise-(vba_bs_result/Stock)*Stock)-F190&lt;-(vba_bs_result/Stock)*Stock,-(vba_bs_result/Stock)*Stock,(Exercise-(vba_bs_result/Stock)*Stock)-F190))</f>
        <v>75.54676787070062</v>
      </c>
    </row>
    <row r="191" spans="5:7" ht="15.75" customHeight="1" x14ac:dyDescent="0.2">
      <c r="E191" s="13">
        <f t="shared" si="1"/>
        <v>88</v>
      </c>
      <c r="F191" s="57">
        <f t="shared" si="3"/>
        <v>206.38640000000001</v>
      </c>
      <c r="G191" s="58">
        <f>IF(bs_option_type="Call",IF(((F191-Stock-(vba_bs_result/Stock)*Stock))&lt;-(vba_bs_result/Stock)*Stock,-(vba_bs_result/Stock)*Stock,(F191-Stock-(vba_bs_result/Stock)*Stock)*1),IF((Exercise-(vba_bs_result/Stock)*Stock)-F191&lt;-(vba_bs_result/Stock)*Stock,-(vba_bs_result/Stock)*Stock,(Exercise-(vba_bs_result/Stock)*Stock)-F191))</f>
        <v>76.644567870700627</v>
      </c>
    </row>
    <row r="192" spans="5:7" ht="15.75" customHeight="1" x14ac:dyDescent="0.2">
      <c r="E192" s="13">
        <f t="shared" si="1"/>
        <v>89</v>
      </c>
      <c r="F192" s="57">
        <f t="shared" si="3"/>
        <v>207.48419999999999</v>
      </c>
      <c r="G192" s="58">
        <f>IF(bs_option_type="Call",IF(((F192-Stock-(vba_bs_result/Stock)*Stock))&lt;-(vba_bs_result/Stock)*Stock,-(vba_bs_result/Stock)*Stock,(F192-Stock-(vba_bs_result/Stock)*Stock)*1),IF((Exercise-(vba_bs_result/Stock)*Stock)-F192&lt;-(vba_bs_result/Stock)*Stock,-(vba_bs_result/Stock)*Stock,(Exercise-(vba_bs_result/Stock)*Stock)-F192))</f>
        <v>77.742367870700605</v>
      </c>
    </row>
    <row r="193" spans="5:7" ht="15.75" customHeight="1" x14ac:dyDescent="0.2">
      <c r="E193" s="13">
        <f t="shared" si="1"/>
        <v>90</v>
      </c>
      <c r="F193" s="57">
        <f t="shared" si="3"/>
        <v>208.58199999999999</v>
      </c>
      <c r="G193" s="58">
        <f>IF(bs_option_type="Call",IF(((F193-Stock-(vba_bs_result/Stock)*Stock))&lt;-(vba_bs_result/Stock)*Stock,-(vba_bs_result/Stock)*Stock,(F193-Stock-(vba_bs_result/Stock)*Stock)*1),IF((Exercise-(vba_bs_result/Stock)*Stock)-F193&lt;-(vba_bs_result/Stock)*Stock,-(vba_bs_result/Stock)*Stock,(Exercise-(vba_bs_result/Stock)*Stock)-F193))</f>
        <v>78.840167870700611</v>
      </c>
    </row>
    <row r="194" spans="5:7" ht="15.75" customHeight="1" x14ac:dyDescent="0.2">
      <c r="E194" s="13">
        <f t="shared" si="1"/>
        <v>91</v>
      </c>
      <c r="F194" s="57">
        <f t="shared" si="3"/>
        <v>209.6798</v>
      </c>
      <c r="G194" s="58">
        <f>IF(bs_option_type="Call",IF(((F194-Stock-(vba_bs_result/Stock)*Stock))&lt;-(vba_bs_result/Stock)*Stock,-(vba_bs_result/Stock)*Stock,(F194-Stock-(vba_bs_result/Stock)*Stock)*1),IF((Exercise-(vba_bs_result/Stock)*Stock)-F194&lt;-(vba_bs_result/Stock)*Stock,-(vba_bs_result/Stock)*Stock,(Exercise-(vba_bs_result/Stock)*Stock)-F194))</f>
        <v>79.937967870700618</v>
      </c>
    </row>
    <row r="195" spans="5:7" ht="15.75" customHeight="1" x14ac:dyDescent="0.2">
      <c r="E195" s="13">
        <f t="shared" si="1"/>
        <v>92</v>
      </c>
      <c r="F195" s="57">
        <f t="shared" ref="F195:F203" si="4">Stock+(E195/100)*Stock</f>
        <v>210.77760000000001</v>
      </c>
      <c r="G195" s="58">
        <f>IF(bs_option_type="Call",IF(((F195-Stock-(vba_bs_result/Stock)*Stock))&lt;-(vba_bs_result/Stock)*Stock,-(vba_bs_result/Stock)*Stock,(F195-Stock-(vba_bs_result/Stock)*Stock)*1),IF((Exercise-(vba_bs_result/Stock)*Stock)-F195&lt;-(vba_bs_result/Stock)*Stock,-(vba_bs_result/Stock)*Stock,(Exercise-(vba_bs_result/Stock)*Stock)-F195))</f>
        <v>81.035767870700624</v>
      </c>
    </row>
    <row r="196" spans="5:7" ht="15.75" customHeight="1" x14ac:dyDescent="0.2">
      <c r="E196" s="13">
        <f t="shared" si="1"/>
        <v>93</v>
      </c>
      <c r="F196" s="57">
        <f t="shared" si="4"/>
        <v>211.87540000000001</v>
      </c>
      <c r="G196" s="58">
        <f>IF(bs_option_type="Call",IF(((F196-Stock-(vba_bs_result/Stock)*Stock))&lt;-(vba_bs_result/Stock)*Stock,-(vba_bs_result/Stock)*Stock,(F196-Stock-(vba_bs_result/Stock)*Stock)*1),IF((Exercise-(vba_bs_result/Stock)*Stock)-F196&lt;-(vba_bs_result/Stock)*Stock,-(vba_bs_result/Stock)*Stock,(Exercise-(vba_bs_result/Stock)*Stock)-F196))</f>
        <v>82.133567870700631</v>
      </c>
    </row>
    <row r="197" spans="5:7" ht="15.75" customHeight="1" x14ac:dyDescent="0.2">
      <c r="E197" s="13">
        <f t="shared" si="1"/>
        <v>94</v>
      </c>
      <c r="F197" s="57">
        <f t="shared" si="4"/>
        <v>212.97319999999999</v>
      </c>
      <c r="G197" s="58">
        <f>IF(bs_option_type="Call",IF(((F197-Stock-(vba_bs_result/Stock)*Stock))&lt;-(vba_bs_result/Stock)*Stock,-(vba_bs_result/Stock)*Stock,(F197-Stock-(vba_bs_result/Stock)*Stock)*1),IF((Exercise-(vba_bs_result/Stock)*Stock)-F197&lt;-(vba_bs_result/Stock)*Stock,-(vba_bs_result/Stock)*Stock,(Exercise-(vba_bs_result/Stock)*Stock)-F197))</f>
        <v>83.231367870700609</v>
      </c>
    </row>
    <row r="198" spans="5:7" ht="15.75" customHeight="1" x14ac:dyDescent="0.2">
      <c r="E198" s="13">
        <f t="shared" si="1"/>
        <v>95</v>
      </c>
      <c r="F198" s="57">
        <f t="shared" si="4"/>
        <v>214.071</v>
      </c>
      <c r="G198" s="58">
        <f>IF(bs_option_type="Call",IF(((F198-Stock-(vba_bs_result/Stock)*Stock))&lt;-(vba_bs_result/Stock)*Stock,-(vba_bs_result/Stock)*Stock,(F198-Stock-(vba_bs_result/Stock)*Stock)*1),IF((Exercise-(vba_bs_result/Stock)*Stock)-F198&lt;-(vba_bs_result/Stock)*Stock,-(vba_bs_result/Stock)*Stock,(Exercise-(vba_bs_result/Stock)*Stock)-F198))</f>
        <v>84.329167870700616</v>
      </c>
    </row>
    <row r="199" spans="5:7" ht="15.75" customHeight="1" x14ac:dyDescent="0.2">
      <c r="E199" s="13">
        <f t="shared" si="1"/>
        <v>96</v>
      </c>
      <c r="F199" s="57">
        <f t="shared" si="4"/>
        <v>215.1688</v>
      </c>
      <c r="G199" s="58">
        <f>IF(bs_option_type="Call",IF(((F199-Stock-(vba_bs_result/Stock)*Stock))&lt;-(vba_bs_result/Stock)*Stock,-(vba_bs_result/Stock)*Stock,(F199-Stock-(vba_bs_result/Stock)*Stock)*1),IF((Exercise-(vba_bs_result/Stock)*Stock)-F199&lt;-(vba_bs_result/Stock)*Stock,-(vba_bs_result/Stock)*Stock,(Exercise-(vba_bs_result/Stock)*Stock)-F199))</f>
        <v>85.426967870700622</v>
      </c>
    </row>
    <row r="200" spans="5:7" ht="15.75" customHeight="1" x14ac:dyDescent="0.2">
      <c r="E200" s="13">
        <f t="shared" si="1"/>
        <v>97</v>
      </c>
      <c r="F200" s="57">
        <f t="shared" si="4"/>
        <v>216.26659999999998</v>
      </c>
      <c r="G200" s="58">
        <f>IF(bs_option_type="Call",IF(((F200-Stock-(vba_bs_result/Stock)*Stock))&lt;-(vba_bs_result/Stock)*Stock,-(vba_bs_result/Stock)*Stock,(F200-Stock-(vba_bs_result/Stock)*Stock)*1),IF((Exercise-(vba_bs_result/Stock)*Stock)-F200&lt;-(vba_bs_result/Stock)*Stock,-(vba_bs_result/Stock)*Stock,(Exercise-(vba_bs_result/Stock)*Stock)-F200))</f>
        <v>86.5247678707006</v>
      </c>
    </row>
    <row r="201" spans="5:7" ht="15.75" customHeight="1" x14ac:dyDescent="0.2">
      <c r="E201" s="13">
        <f t="shared" si="1"/>
        <v>98</v>
      </c>
      <c r="F201" s="57">
        <f t="shared" si="4"/>
        <v>217.36439999999999</v>
      </c>
      <c r="G201" s="58">
        <f>IF(bs_option_type="Call",IF(((F201-Stock-(vba_bs_result/Stock)*Stock))&lt;-(vba_bs_result/Stock)*Stock,-(vba_bs_result/Stock)*Stock,(F201-Stock-(vba_bs_result/Stock)*Stock)*1),IF((Exercise-(vba_bs_result/Stock)*Stock)-F201&lt;-(vba_bs_result/Stock)*Stock,-(vba_bs_result/Stock)*Stock,(Exercise-(vba_bs_result/Stock)*Stock)-F201))</f>
        <v>87.622567870700607</v>
      </c>
    </row>
    <row r="202" spans="5:7" ht="15.75" customHeight="1" x14ac:dyDescent="0.2">
      <c r="E202" s="13">
        <f t="shared" si="1"/>
        <v>99</v>
      </c>
      <c r="F202" s="57">
        <f t="shared" si="4"/>
        <v>218.4622</v>
      </c>
      <c r="G202" s="58">
        <f>IF(bs_option_type="Call",IF(((F202-Stock-(vba_bs_result/Stock)*Stock))&lt;-(vba_bs_result/Stock)*Stock,-(vba_bs_result/Stock)*Stock,(F202-Stock-(vba_bs_result/Stock)*Stock)*1),IF((Exercise-(vba_bs_result/Stock)*Stock)-F202&lt;-(vba_bs_result/Stock)*Stock,-(vba_bs_result/Stock)*Stock,(Exercise-(vba_bs_result/Stock)*Stock)-F202))</f>
        <v>88.720367870700613</v>
      </c>
    </row>
    <row r="203" spans="5:7" ht="15.75" customHeight="1" x14ac:dyDescent="0.2">
      <c r="E203" s="13">
        <f t="shared" si="1"/>
        <v>100</v>
      </c>
      <c r="F203" s="57">
        <f t="shared" si="4"/>
        <v>219.56</v>
      </c>
      <c r="G203" s="58">
        <f>IF(bs_option_type="Call",IF(((F203-Stock-(vba_bs_result/Stock)*Stock))&lt;-(vba_bs_result/Stock)*Stock,-(vba_bs_result/Stock)*Stock,(F203-Stock-(vba_bs_result/Stock)*Stock)*1),IF((Exercise-(vba_bs_result/Stock)*Stock)-F203&lt;-(vba_bs_result/Stock)*Stock,-(vba_bs_result/Stock)*Stock,(Exercise-(vba_bs_result/Stock)*Stock)-F203))</f>
        <v>89.81816787070062</v>
      </c>
    </row>
    <row r="204" spans="5:7" ht="15.75" customHeight="1" x14ac:dyDescent="0.15"/>
    <row r="205" spans="5:7" ht="15.75" customHeight="1" x14ac:dyDescent="0.15"/>
    <row r="206" spans="5:7" ht="15.75" customHeight="1" x14ac:dyDescent="0.15"/>
    <row r="207" spans="5:7" ht="15.75" customHeight="1" x14ac:dyDescent="0.15"/>
    <row r="208" spans="5:7" ht="15.75" customHeight="1" x14ac:dyDescent="0.15"/>
    <row r="209" ht="15.75" customHeight="1" x14ac:dyDescent="0.15"/>
    <row r="210" ht="15.75" customHeight="1" x14ac:dyDescent="0.15"/>
    <row r="211" ht="15.75" customHeight="1" x14ac:dyDescent="0.15"/>
    <row r="212" ht="15.75" customHeight="1" x14ac:dyDescent="0.15"/>
    <row r="213" ht="15.75" customHeight="1" x14ac:dyDescent="0.15"/>
    <row r="214" ht="15.75" customHeight="1" x14ac:dyDescent="0.15"/>
    <row r="215" ht="15.75" customHeight="1" x14ac:dyDescent="0.15"/>
    <row r="216" ht="15.75" customHeight="1" x14ac:dyDescent="0.15"/>
    <row r="217" ht="15.75" customHeight="1" x14ac:dyDescent="0.15"/>
    <row r="218" ht="15.75" customHeight="1" x14ac:dyDescent="0.15"/>
    <row r="219" ht="15.75" customHeight="1" x14ac:dyDescent="0.15"/>
    <row r="220" ht="15.75" customHeight="1" x14ac:dyDescent="0.15"/>
    <row r="221" ht="15.75" customHeight="1" x14ac:dyDescent="0.15"/>
    <row r="222" ht="15.75" customHeight="1" x14ac:dyDescent="0.15"/>
    <row r="223" ht="15.75" customHeight="1" x14ac:dyDescent="0.15"/>
    <row r="224" ht="15.75" customHeight="1" x14ac:dyDescent="0.15"/>
    <row r="225" ht="15.75" customHeight="1" x14ac:dyDescent="0.15"/>
    <row r="226" ht="15.75" customHeight="1" x14ac:dyDescent="0.15"/>
    <row r="227" ht="15.75" customHeight="1" x14ac:dyDescent="0.15"/>
    <row r="228" ht="15.75" customHeight="1" x14ac:dyDescent="0.15"/>
    <row r="229" ht="15.75" customHeight="1" x14ac:dyDescent="0.15"/>
    <row r="230" ht="15.75" customHeight="1" x14ac:dyDescent="0.15"/>
    <row r="231" ht="15.75" customHeight="1" x14ac:dyDescent="0.15"/>
    <row r="232" ht="15.75" customHeight="1" x14ac:dyDescent="0.15"/>
    <row r="233" ht="15.75" customHeight="1" x14ac:dyDescent="0.15"/>
    <row r="234" ht="15.75" customHeight="1" x14ac:dyDescent="0.15"/>
    <row r="235" ht="15.75" customHeight="1" x14ac:dyDescent="0.15"/>
    <row r="236" ht="15.75" customHeight="1" x14ac:dyDescent="0.15"/>
    <row r="237" ht="15.75" customHeight="1" x14ac:dyDescent="0.15"/>
    <row r="238" ht="15.75" customHeight="1" x14ac:dyDescent="0.15"/>
    <row r="239" ht="15.75" customHeight="1" x14ac:dyDescent="0.15"/>
    <row r="240" ht="15.75" customHeight="1" x14ac:dyDescent="0.15"/>
    <row r="241" ht="15.75" customHeight="1" x14ac:dyDescent="0.15"/>
    <row r="242" ht="15.75" customHeight="1" x14ac:dyDescent="0.15"/>
    <row r="243" ht="15.75" customHeight="1" x14ac:dyDescent="0.15"/>
    <row r="244" ht="15.75" customHeight="1" x14ac:dyDescent="0.15"/>
    <row r="245" ht="15.75" customHeight="1" x14ac:dyDescent="0.15"/>
    <row r="246" ht="15.75" customHeight="1" x14ac:dyDescent="0.15"/>
    <row r="247" ht="15.75" customHeight="1" x14ac:dyDescent="0.15"/>
    <row r="248" ht="15.75" customHeight="1" x14ac:dyDescent="0.15"/>
    <row r="249" ht="15.75" customHeight="1" x14ac:dyDescent="0.15"/>
    <row r="250" ht="15.75" customHeight="1" x14ac:dyDescent="0.15"/>
    <row r="251" ht="15.75" customHeight="1" x14ac:dyDescent="0.15"/>
    <row r="252" ht="15.75" customHeight="1" x14ac:dyDescent="0.15"/>
    <row r="253" ht="15.75" customHeight="1" x14ac:dyDescent="0.15"/>
    <row r="254" ht="15.75" customHeight="1" x14ac:dyDescent="0.15"/>
    <row r="255" ht="15.75" customHeight="1" x14ac:dyDescent="0.15"/>
    <row r="256" ht="15.75" customHeight="1" x14ac:dyDescent="0.15"/>
    <row r="257" ht="15.75" customHeight="1" x14ac:dyDescent="0.15"/>
    <row r="258" ht="15.75" customHeight="1" x14ac:dyDescent="0.15"/>
    <row r="259" ht="15.75" customHeight="1" x14ac:dyDescent="0.15"/>
    <row r="260" ht="15.75" customHeight="1" x14ac:dyDescent="0.15"/>
    <row r="261" ht="15.75" customHeight="1" x14ac:dyDescent="0.15"/>
    <row r="262" ht="15.75" customHeight="1" x14ac:dyDescent="0.15"/>
    <row r="263" ht="15.75" customHeight="1" x14ac:dyDescent="0.15"/>
    <row r="264" ht="15.75" customHeight="1" x14ac:dyDescent="0.15"/>
    <row r="265" ht="15.75" customHeight="1" x14ac:dyDescent="0.15"/>
    <row r="266" ht="15.75" customHeight="1" x14ac:dyDescent="0.15"/>
    <row r="267" ht="15.75" customHeight="1" x14ac:dyDescent="0.15"/>
    <row r="268" ht="15.75" customHeight="1" x14ac:dyDescent="0.15"/>
    <row r="269" ht="15.75" customHeight="1" x14ac:dyDescent="0.15"/>
    <row r="270" ht="15.75" customHeight="1" x14ac:dyDescent="0.15"/>
    <row r="271" ht="15.75" customHeight="1" x14ac:dyDescent="0.15"/>
    <row r="272" ht="15.75" customHeight="1" x14ac:dyDescent="0.15"/>
    <row r="273" ht="15.75" customHeight="1" x14ac:dyDescent="0.15"/>
    <row r="274" ht="15.75" customHeight="1" x14ac:dyDescent="0.15"/>
    <row r="275" ht="15.75" customHeight="1" x14ac:dyDescent="0.15"/>
    <row r="276" ht="15.75" customHeight="1" x14ac:dyDescent="0.15"/>
    <row r="277" ht="15.75" customHeight="1" x14ac:dyDescent="0.15"/>
    <row r="278" ht="15.75" customHeight="1" x14ac:dyDescent="0.15"/>
    <row r="279" ht="15.75" customHeight="1" x14ac:dyDescent="0.15"/>
    <row r="280" ht="15.75" customHeight="1" x14ac:dyDescent="0.15"/>
    <row r="281" ht="15.75" customHeight="1" x14ac:dyDescent="0.15"/>
    <row r="282" ht="15.75" customHeight="1" x14ac:dyDescent="0.15"/>
    <row r="283" ht="15.75" customHeight="1" x14ac:dyDescent="0.15"/>
    <row r="284" ht="15.75" customHeight="1" x14ac:dyDescent="0.15"/>
    <row r="285" ht="15.75" customHeight="1" x14ac:dyDescent="0.15"/>
    <row r="286" ht="15.75" customHeight="1" x14ac:dyDescent="0.15"/>
    <row r="287" ht="15.75" customHeight="1" x14ac:dyDescent="0.15"/>
    <row r="288" ht="15.75" customHeight="1" x14ac:dyDescent="0.15"/>
    <row r="289" ht="15.75" customHeight="1" x14ac:dyDescent="0.15"/>
    <row r="290" ht="15.75" customHeight="1" x14ac:dyDescent="0.15"/>
    <row r="291" ht="15.75" customHeight="1" x14ac:dyDescent="0.15"/>
    <row r="292" ht="15.75" customHeight="1" x14ac:dyDescent="0.15"/>
    <row r="293" ht="15.75" customHeight="1" x14ac:dyDescent="0.15"/>
    <row r="294" ht="15.75" customHeight="1" x14ac:dyDescent="0.15"/>
    <row r="295" ht="15.75" customHeight="1" x14ac:dyDescent="0.15"/>
    <row r="296" ht="15.75" customHeight="1" x14ac:dyDescent="0.15"/>
    <row r="297" ht="15.75" customHeight="1" x14ac:dyDescent="0.15"/>
    <row r="298" ht="15.75" customHeight="1" x14ac:dyDescent="0.15"/>
    <row r="299" ht="15.75" customHeight="1" x14ac:dyDescent="0.15"/>
    <row r="300" ht="15.75" customHeight="1" x14ac:dyDescent="0.15"/>
    <row r="301" ht="15.75" customHeight="1" x14ac:dyDescent="0.15"/>
    <row r="302" ht="15.75" customHeight="1" x14ac:dyDescent="0.15"/>
    <row r="303" ht="15.75" customHeight="1" x14ac:dyDescent="0.15"/>
    <row r="304" ht="15.75" customHeight="1" x14ac:dyDescent="0.15"/>
    <row r="305" ht="15.75" customHeight="1" x14ac:dyDescent="0.15"/>
    <row r="306" ht="15.75" customHeight="1" x14ac:dyDescent="0.15"/>
    <row r="307" ht="15.75" customHeight="1" x14ac:dyDescent="0.15"/>
    <row r="308" ht="15.75" customHeight="1" x14ac:dyDescent="0.15"/>
    <row r="309" ht="15.75" customHeight="1" x14ac:dyDescent="0.15"/>
    <row r="310" ht="15.75" customHeight="1" x14ac:dyDescent="0.15"/>
    <row r="311" ht="15.75" customHeight="1" x14ac:dyDescent="0.15"/>
    <row r="312" ht="15.75" customHeight="1" x14ac:dyDescent="0.15"/>
    <row r="313" ht="15.75" customHeight="1" x14ac:dyDescent="0.15"/>
    <row r="314" ht="15.75" customHeight="1" x14ac:dyDescent="0.15"/>
    <row r="315" ht="15.75" customHeight="1" x14ac:dyDescent="0.15"/>
    <row r="316" ht="15.75" customHeight="1" x14ac:dyDescent="0.15"/>
    <row r="317" ht="15.75" customHeight="1" x14ac:dyDescent="0.15"/>
    <row r="318" ht="15.75" customHeight="1" x14ac:dyDescent="0.15"/>
    <row r="319" ht="15.75" customHeight="1" x14ac:dyDescent="0.15"/>
    <row r="320" ht="15.75" customHeight="1" x14ac:dyDescent="0.15"/>
    <row r="321" ht="15.75" customHeight="1" x14ac:dyDescent="0.15"/>
    <row r="322" ht="15.75" customHeight="1" x14ac:dyDescent="0.15"/>
    <row r="323" ht="15.75" customHeight="1" x14ac:dyDescent="0.15"/>
    <row r="324" ht="15.75" customHeight="1" x14ac:dyDescent="0.15"/>
    <row r="325" ht="15.75" customHeight="1" x14ac:dyDescent="0.15"/>
    <row r="326" ht="15.75" customHeight="1" x14ac:dyDescent="0.15"/>
    <row r="327" ht="15.75" customHeight="1" x14ac:dyDescent="0.15"/>
    <row r="328" ht="15.75" customHeight="1" x14ac:dyDescent="0.15"/>
    <row r="329" ht="15.75" customHeight="1" x14ac:dyDescent="0.15"/>
    <row r="330" ht="15.75" customHeight="1" x14ac:dyDescent="0.15"/>
    <row r="331" ht="15.75" customHeight="1" x14ac:dyDescent="0.15"/>
    <row r="332" ht="15.75" customHeight="1" x14ac:dyDescent="0.15"/>
    <row r="333" ht="15.75" customHeight="1" x14ac:dyDescent="0.15"/>
    <row r="334" ht="15.75" customHeight="1" x14ac:dyDescent="0.15"/>
    <row r="335" ht="15.75" customHeight="1" x14ac:dyDescent="0.15"/>
    <row r="336" ht="15.75" customHeight="1" x14ac:dyDescent="0.15"/>
    <row r="337" ht="15.75" customHeight="1" x14ac:dyDescent="0.15"/>
    <row r="338" ht="15.75" customHeight="1" x14ac:dyDescent="0.15"/>
    <row r="339" ht="15.75" customHeight="1" x14ac:dyDescent="0.15"/>
    <row r="340" ht="15.75" customHeight="1" x14ac:dyDescent="0.15"/>
    <row r="341" ht="15.75" customHeight="1" x14ac:dyDescent="0.15"/>
    <row r="342" ht="15.75" customHeight="1" x14ac:dyDescent="0.15"/>
    <row r="343" ht="15.75" customHeight="1" x14ac:dyDescent="0.15"/>
    <row r="344" ht="15.75" customHeight="1" x14ac:dyDescent="0.15"/>
    <row r="345" ht="15.75" customHeight="1" x14ac:dyDescent="0.15"/>
    <row r="346" ht="15.75" customHeight="1" x14ac:dyDescent="0.15"/>
    <row r="347" ht="15.75" customHeight="1" x14ac:dyDescent="0.15"/>
    <row r="348" ht="15.75" customHeight="1" x14ac:dyDescent="0.15"/>
    <row r="349" ht="15.75" customHeight="1" x14ac:dyDescent="0.15"/>
    <row r="350" ht="15.75" customHeight="1" x14ac:dyDescent="0.15"/>
    <row r="351" ht="15.75" customHeight="1" x14ac:dyDescent="0.15"/>
    <row r="352" ht="15.75" customHeight="1" x14ac:dyDescent="0.15"/>
    <row r="353" ht="15.75" customHeight="1" x14ac:dyDescent="0.15"/>
    <row r="354" ht="15.75" customHeight="1" x14ac:dyDescent="0.15"/>
    <row r="355" ht="15.75" customHeight="1" x14ac:dyDescent="0.15"/>
    <row r="356" ht="15.75" customHeight="1" x14ac:dyDescent="0.15"/>
    <row r="357" ht="15.75" customHeight="1" x14ac:dyDescent="0.15"/>
    <row r="358" ht="15.75" customHeight="1" x14ac:dyDescent="0.15"/>
    <row r="359" ht="15.75" customHeight="1" x14ac:dyDescent="0.15"/>
    <row r="360" ht="15.75" customHeight="1" x14ac:dyDescent="0.15"/>
    <row r="361" ht="15.75" customHeight="1" x14ac:dyDescent="0.15"/>
    <row r="362" ht="15.75" customHeight="1" x14ac:dyDescent="0.15"/>
    <row r="363" ht="15.75" customHeight="1" x14ac:dyDescent="0.15"/>
    <row r="364" ht="15.75" customHeight="1" x14ac:dyDescent="0.15"/>
    <row r="365" ht="15.75" customHeight="1" x14ac:dyDescent="0.15"/>
    <row r="366" ht="15.75" customHeight="1" x14ac:dyDescent="0.15"/>
    <row r="367" ht="15.75" customHeight="1" x14ac:dyDescent="0.15"/>
    <row r="368" ht="15.75" customHeight="1" x14ac:dyDescent="0.15"/>
    <row r="369" ht="15.75" customHeight="1" x14ac:dyDescent="0.15"/>
    <row r="370" ht="15.75" customHeight="1" x14ac:dyDescent="0.15"/>
    <row r="371" ht="15.75" customHeight="1" x14ac:dyDescent="0.15"/>
    <row r="372" ht="15.75" customHeight="1" x14ac:dyDescent="0.15"/>
    <row r="373" ht="15.75" customHeight="1" x14ac:dyDescent="0.15"/>
    <row r="374" ht="15.75" customHeight="1" x14ac:dyDescent="0.15"/>
    <row r="375" ht="15.75" customHeight="1" x14ac:dyDescent="0.15"/>
    <row r="376" ht="15.75" customHeight="1" x14ac:dyDescent="0.15"/>
    <row r="377" ht="15.75" customHeight="1" x14ac:dyDescent="0.15"/>
    <row r="378" ht="15.75" customHeight="1" x14ac:dyDescent="0.15"/>
    <row r="379" ht="15.75" customHeight="1" x14ac:dyDescent="0.15"/>
    <row r="380" ht="15.75" customHeight="1" x14ac:dyDescent="0.15"/>
    <row r="381" ht="15.75" customHeight="1" x14ac:dyDescent="0.15"/>
    <row r="382" ht="15.75" customHeight="1" x14ac:dyDescent="0.15"/>
    <row r="383" ht="15.75" customHeight="1" x14ac:dyDescent="0.15"/>
    <row r="384" ht="15.75" customHeight="1" x14ac:dyDescent="0.15"/>
    <row r="385" ht="15.75" customHeight="1" x14ac:dyDescent="0.15"/>
    <row r="386" ht="15.75" customHeight="1" x14ac:dyDescent="0.15"/>
    <row r="387" ht="15.75" customHeight="1" x14ac:dyDescent="0.15"/>
    <row r="388" ht="15.75" customHeight="1" x14ac:dyDescent="0.15"/>
    <row r="389" ht="15.75" customHeight="1" x14ac:dyDescent="0.15"/>
    <row r="390" ht="15.75" customHeight="1" x14ac:dyDescent="0.15"/>
    <row r="391" ht="15.75" customHeight="1" x14ac:dyDescent="0.15"/>
    <row r="392" ht="15.75" customHeight="1" x14ac:dyDescent="0.15"/>
    <row r="393" ht="15.75" customHeight="1" x14ac:dyDescent="0.15"/>
    <row r="394" ht="15.75" customHeight="1" x14ac:dyDescent="0.15"/>
    <row r="395" ht="15.75" customHeight="1" x14ac:dyDescent="0.15"/>
    <row r="396" ht="15.75" customHeight="1" x14ac:dyDescent="0.15"/>
    <row r="397" ht="15.75" customHeight="1" x14ac:dyDescent="0.15"/>
    <row r="398" ht="15.75" customHeight="1" x14ac:dyDescent="0.15"/>
    <row r="399" ht="15.75" customHeight="1" x14ac:dyDescent="0.15"/>
    <row r="400" ht="15.75" customHeight="1" x14ac:dyDescent="0.15"/>
    <row r="401" ht="15.75" customHeight="1" x14ac:dyDescent="0.15"/>
    <row r="402" ht="15.75" customHeight="1" x14ac:dyDescent="0.15"/>
    <row r="403" ht="15.75" customHeight="1" x14ac:dyDescent="0.15"/>
    <row r="404" ht="15.75" customHeight="1" x14ac:dyDescent="0.15"/>
    <row r="405" ht="15.75" customHeight="1" x14ac:dyDescent="0.15"/>
    <row r="406" ht="15.75" customHeight="1" x14ac:dyDescent="0.15"/>
    <row r="407" ht="15.75" customHeight="1" x14ac:dyDescent="0.15"/>
    <row r="408" ht="15.75" customHeight="1" x14ac:dyDescent="0.15"/>
    <row r="409" ht="15.75" customHeight="1" x14ac:dyDescent="0.15"/>
    <row r="410" ht="15.75" customHeight="1" x14ac:dyDescent="0.15"/>
    <row r="411" ht="15.75" customHeight="1" x14ac:dyDescent="0.15"/>
    <row r="412" ht="15.75" customHeight="1" x14ac:dyDescent="0.15"/>
    <row r="413" ht="15.75" customHeight="1" x14ac:dyDescent="0.15"/>
    <row r="414" ht="15.75" customHeight="1" x14ac:dyDescent="0.15"/>
    <row r="415" ht="15.75" customHeight="1" x14ac:dyDescent="0.15"/>
    <row r="416" ht="15.75" customHeight="1" x14ac:dyDescent="0.15"/>
    <row r="417" ht="15.75" customHeight="1" x14ac:dyDescent="0.15"/>
    <row r="418" ht="15.75" customHeight="1" x14ac:dyDescent="0.15"/>
    <row r="419" ht="15.75" customHeight="1" x14ac:dyDescent="0.15"/>
    <row r="420" ht="15.75" customHeight="1" x14ac:dyDescent="0.15"/>
    <row r="421" ht="15.75" customHeight="1" x14ac:dyDescent="0.15"/>
    <row r="422" ht="15.75" customHeight="1" x14ac:dyDescent="0.15"/>
    <row r="423" ht="15.75" customHeight="1" x14ac:dyDescent="0.15"/>
    <row r="424" ht="15.75" customHeight="1" x14ac:dyDescent="0.15"/>
    <row r="425" ht="15.75" customHeight="1" x14ac:dyDescent="0.15"/>
    <row r="426" ht="15.75" customHeight="1" x14ac:dyDescent="0.15"/>
    <row r="427" ht="15.75" customHeight="1" x14ac:dyDescent="0.15"/>
    <row r="428" ht="15.75" customHeight="1" x14ac:dyDescent="0.15"/>
    <row r="429" ht="15.75" customHeight="1" x14ac:dyDescent="0.15"/>
    <row r="430" ht="15.75" customHeight="1" x14ac:dyDescent="0.15"/>
    <row r="431" ht="15.75" customHeight="1" x14ac:dyDescent="0.15"/>
    <row r="432" ht="15.75" customHeight="1" x14ac:dyDescent="0.15"/>
    <row r="433" ht="15.75" customHeight="1" x14ac:dyDescent="0.15"/>
    <row r="434" ht="15.75" customHeight="1" x14ac:dyDescent="0.15"/>
    <row r="435" ht="15.75" customHeight="1" x14ac:dyDescent="0.15"/>
    <row r="436" ht="15.75" customHeight="1" x14ac:dyDescent="0.15"/>
    <row r="437" ht="15.75" customHeight="1" x14ac:dyDescent="0.15"/>
    <row r="438" ht="15.75" customHeight="1" x14ac:dyDescent="0.15"/>
    <row r="439" ht="15.75" customHeight="1" x14ac:dyDescent="0.15"/>
    <row r="440" ht="15.75" customHeight="1" x14ac:dyDescent="0.15"/>
    <row r="441" ht="15.75" customHeight="1" x14ac:dyDescent="0.15"/>
    <row r="442" ht="15.75" customHeight="1" x14ac:dyDescent="0.15"/>
    <row r="443" ht="15.75" customHeight="1" x14ac:dyDescent="0.15"/>
    <row r="444" ht="15.75" customHeight="1" x14ac:dyDescent="0.15"/>
    <row r="445" ht="15.75" customHeight="1" x14ac:dyDescent="0.15"/>
    <row r="446" ht="15.75" customHeight="1" x14ac:dyDescent="0.15"/>
    <row r="447" ht="15.75" customHeight="1" x14ac:dyDescent="0.15"/>
    <row r="448" ht="15.75" customHeight="1" x14ac:dyDescent="0.15"/>
    <row r="449" ht="15.75" customHeight="1" x14ac:dyDescent="0.15"/>
    <row r="450" ht="15.75" customHeight="1" x14ac:dyDescent="0.15"/>
    <row r="451" ht="15.75" customHeight="1" x14ac:dyDescent="0.15"/>
    <row r="452" ht="15.75" customHeight="1" x14ac:dyDescent="0.15"/>
    <row r="453" ht="15.75" customHeight="1" x14ac:dyDescent="0.15"/>
    <row r="454" ht="15.75" customHeight="1" x14ac:dyDescent="0.15"/>
    <row r="455" ht="15.75" customHeight="1" x14ac:dyDescent="0.15"/>
    <row r="456" ht="15.75" customHeight="1" x14ac:dyDescent="0.15"/>
    <row r="457" ht="15.75" customHeight="1" x14ac:dyDescent="0.15"/>
    <row r="458" ht="15.75" customHeight="1" x14ac:dyDescent="0.15"/>
    <row r="459" ht="15.75" customHeight="1" x14ac:dyDescent="0.15"/>
    <row r="460" ht="15.75" customHeight="1" x14ac:dyDescent="0.15"/>
    <row r="461" ht="15.75" customHeight="1" x14ac:dyDescent="0.15"/>
    <row r="462" ht="15.75" customHeight="1" x14ac:dyDescent="0.15"/>
    <row r="463" ht="15.75" customHeight="1" x14ac:dyDescent="0.15"/>
    <row r="464" ht="15.75" customHeight="1" x14ac:dyDescent="0.15"/>
    <row r="465" ht="15.75" customHeight="1" x14ac:dyDescent="0.15"/>
    <row r="466" ht="15.75" customHeight="1" x14ac:dyDescent="0.15"/>
    <row r="467" ht="15.75" customHeight="1" x14ac:dyDescent="0.15"/>
    <row r="468" ht="15.75" customHeight="1" x14ac:dyDescent="0.15"/>
    <row r="469" ht="15.75" customHeight="1" x14ac:dyDescent="0.15"/>
    <row r="470" ht="15.75" customHeight="1" x14ac:dyDescent="0.15"/>
    <row r="471" ht="15.75" customHeight="1" x14ac:dyDescent="0.15"/>
    <row r="472" ht="15.75" customHeight="1" x14ac:dyDescent="0.15"/>
    <row r="473" ht="15.75" customHeight="1" x14ac:dyDescent="0.15"/>
    <row r="474" ht="15.75" customHeight="1" x14ac:dyDescent="0.15"/>
    <row r="475" ht="15.75" customHeight="1" x14ac:dyDescent="0.15"/>
    <row r="476" ht="15.75" customHeight="1" x14ac:dyDescent="0.15"/>
    <row r="477" ht="15.75" customHeight="1" x14ac:dyDescent="0.15"/>
    <row r="478" ht="15.75" customHeight="1" x14ac:dyDescent="0.15"/>
    <row r="479" ht="15.75" customHeight="1" x14ac:dyDescent="0.15"/>
    <row r="480" ht="15.75" customHeight="1" x14ac:dyDescent="0.15"/>
    <row r="481" ht="15.75" customHeight="1" x14ac:dyDescent="0.15"/>
    <row r="482" ht="15.75" customHeight="1" x14ac:dyDescent="0.15"/>
    <row r="483" ht="15.75" customHeight="1" x14ac:dyDescent="0.15"/>
    <row r="484" ht="15.75" customHeight="1" x14ac:dyDescent="0.15"/>
    <row r="485" ht="15.75" customHeight="1" x14ac:dyDescent="0.15"/>
    <row r="486" ht="15.75" customHeight="1" x14ac:dyDescent="0.15"/>
    <row r="487" ht="15.75" customHeight="1" x14ac:dyDescent="0.15"/>
    <row r="488" ht="15.75" customHeight="1" x14ac:dyDescent="0.15"/>
    <row r="489" ht="15.75" customHeight="1" x14ac:dyDescent="0.15"/>
    <row r="490" ht="15.75" customHeight="1" x14ac:dyDescent="0.15"/>
    <row r="491" ht="15.75" customHeight="1" x14ac:dyDescent="0.15"/>
    <row r="492" ht="15.75" customHeight="1" x14ac:dyDescent="0.15"/>
    <row r="493" ht="15.75" customHeight="1" x14ac:dyDescent="0.15"/>
    <row r="494" ht="15.75" customHeight="1" x14ac:dyDescent="0.15"/>
    <row r="495" ht="15.75" customHeight="1" x14ac:dyDescent="0.15"/>
    <row r="496" ht="15.75" customHeight="1" x14ac:dyDescent="0.15"/>
    <row r="497" ht="15.75" customHeight="1" x14ac:dyDescent="0.15"/>
    <row r="498" ht="15.75" customHeight="1" x14ac:dyDescent="0.15"/>
    <row r="499" ht="15.75" customHeight="1" x14ac:dyDescent="0.15"/>
    <row r="500" ht="15.75" customHeight="1" x14ac:dyDescent="0.15"/>
    <row r="501" ht="15.75" customHeight="1" x14ac:dyDescent="0.15"/>
    <row r="502" ht="15.75" customHeight="1" x14ac:dyDescent="0.15"/>
    <row r="503" ht="15.75" customHeight="1" x14ac:dyDescent="0.15"/>
    <row r="504" ht="15.75" customHeight="1" x14ac:dyDescent="0.15"/>
    <row r="505" ht="15.75" customHeight="1" x14ac:dyDescent="0.15"/>
    <row r="506" ht="15.75" customHeight="1" x14ac:dyDescent="0.15"/>
    <row r="507" ht="15.75" customHeight="1" x14ac:dyDescent="0.15"/>
    <row r="508" ht="15.75" customHeight="1" x14ac:dyDescent="0.15"/>
    <row r="509" ht="15.75" customHeight="1" x14ac:dyDescent="0.15"/>
    <row r="510" ht="15.75" customHeight="1" x14ac:dyDescent="0.15"/>
    <row r="511" ht="15.75" customHeight="1" x14ac:dyDescent="0.15"/>
    <row r="512" ht="15.75" customHeight="1" x14ac:dyDescent="0.15"/>
    <row r="513" ht="15.75" customHeight="1" x14ac:dyDescent="0.15"/>
    <row r="514" ht="15.75" customHeight="1" x14ac:dyDescent="0.15"/>
    <row r="515" ht="15.75" customHeight="1" x14ac:dyDescent="0.15"/>
    <row r="516" ht="15.75" customHeight="1" x14ac:dyDescent="0.15"/>
    <row r="517" ht="15.75" customHeight="1" x14ac:dyDescent="0.15"/>
    <row r="518" ht="15.75" customHeight="1" x14ac:dyDescent="0.15"/>
    <row r="519" ht="15.75" customHeight="1" x14ac:dyDescent="0.15"/>
    <row r="520" ht="15.75" customHeight="1" x14ac:dyDescent="0.15"/>
    <row r="521" ht="15.75" customHeight="1" x14ac:dyDescent="0.15"/>
    <row r="522" ht="15.75" customHeight="1" x14ac:dyDescent="0.15"/>
    <row r="523" ht="15.75" customHeight="1" x14ac:dyDescent="0.15"/>
    <row r="524" ht="15.75" customHeight="1" x14ac:dyDescent="0.15"/>
    <row r="525" ht="15.75" customHeight="1" x14ac:dyDescent="0.15"/>
    <row r="526" ht="15.75" customHeight="1" x14ac:dyDescent="0.15"/>
    <row r="527" ht="15.75" customHeight="1" x14ac:dyDescent="0.15"/>
    <row r="528" ht="15.75" customHeight="1" x14ac:dyDescent="0.15"/>
    <row r="529" ht="15.75" customHeight="1" x14ac:dyDescent="0.15"/>
    <row r="530" ht="15.75" customHeight="1" x14ac:dyDescent="0.15"/>
    <row r="531" ht="15.75" customHeight="1" x14ac:dyDescent="0.15"/>
    <row r="532" ht="15.75" customHeight="1" x14ac:dyDescent="0.15"/>
    <row r="533" ht="15.75" customHeight="1" x14ac:dyDescent="0.15"/>
    <row r="534" ht="15.75" customHeight="1" x14ac:dyDescent="0.15"/>
    <row r="535" ht="15.75" customHeight="1" x14ac:dyDescent="0.15"/>
    <row r="536" ht="15.75" customHeight="1" x14ac:dyDescent="0.15"/>
    <row r="537" ht="15.75" customHeight="1" x14ac:dyDescent="0.15"/>
    <row r="538" ht="15.75" customHeight="1" x14ac:dyDescent="0.15"/>
    <row r="539" ht="15.75" customHeight="1" x14ac:dyDescent="0.15"/>
    <row r="540" ht="15.75" customHeight="1" x14ac:dyDescent="0.15"/>
    <row r="541" ht="15.75" customHeight="1" x14ac:dyDescent="0.15"/>
    <row r="542" ht="15.75" customHeight="1" x14ac:dyDescent="0.15"/>
    <row r="543" ht="15.75" customHeight="1" x14ac:dyDescent="0.15"/>
    <row r="544" ht="15.75" customHeight="1" x14ac:dyDescent="0.15"/>
    <row r="545" ht="15.75" customHeight="1" x14ac:dyDescent="0.15"/>
    <row r="546" ht="15.75" customHeight="1" x14ac:dyDescent="0.15"/>
    <row r="547" ht="15.75" customHeight="1" x14ac:dyDescent="0.15"/>
    <row r="548" ht="15.75" customHeight="1" x14ac:dyDescent="0.15"/>
    <row r="549" ht="15.75" customHeight="1" x14ac:dyDescent="0.15"/>
    <row r="550" ht="15.75" customHeight="1" x14ac:dyDescent="0.15"/>
    <row r="551" ht="15.75" customHeight="1" x14ac:dyDescent="0.15"/>
    <row r="552" ht="15.75" customHeight="1" x14ac:dyDescent="0.15"/>
    <row r="553" ht="15.75" customHeight="1" x14ac:dyDescent="0.15"/>
    <row r="554" ht="15.75" customHeight="1" x14ac:dyDescent="0.15"/>
    <row r="555" ht="15.75" customHeight="1" x14ac:dyDescent="0.15"/>
    <row r="556" ht="15.75" customHeight="1" x14ac:dyDescent="0.15"/>
    <row r="557" ht="15.75" customHeight="1" x14ac:dyDescent="0.15"/>
    <row r="558" ht="15.75" customHeight="1" x14ac:dyDescent="0.15"/>
    <row r="559" ht="15.75" customHeight="1" x14ac:dyDescent="0.15"/>
    <row r="560" ht="15.75" customHeight="1" x14ac:dyDescent="0.15"/>
    <row r="561" ht="15.75" customHeight="1" x14ac:dyDescent="0.15"/>
    <row r="562" ht="15.75" customHeight="1" x14ac:dyDescent="0.15"/>
    <row r="563" ht="15.75" customHeight="1" x14ac:dyDescent="0.15"/>
    <row r="564" ht="15.75" customHeight="1" x14ac:dyDescent="0.15"/>
    <row r="565" ht="15.75" customHeight="1" x14ac:dyDescent="0.15"/>
    <row r="566" ht="15.75" customHeight="1" x14ac:dyDescent="0.15"/>
    <row r="567" ht="15.75" customHeight="1" x14ac:dyDescent="0.15"/>
    <row r="568" ht="15.75" customHeight="1" x14ac:dyDescent="0.15"/>
    <row r="569" ht="15.75" customHeight="1" x14ac:dyDescent="0.15"/>
    <row r="570" ht="15.75" customHeight="1" x14ac:dyDescent="0.15"/>
    <row r="571" ht="15.75" customHeight="1" x14ac:dyDescent="0.15"/>
    <row r="572" ht="15.75" customHeight="1" x14ac:dyDescent="0.15"/>
    <row r="573" ht="15.75" customHeight="1" x14ac:dyDescent="0.15"/>
    <row r="574" ht="15.75" customHeight="1" x14ac:dyDescent="0.15"/>
    <row r="575" ht="15.75" customHeight="1" x14ac:dyDescent="0.15"/>
    <row r="576" ht="15.75" customHeight="1" x14ac:dyDescent="0.15"/>
    <row r="577" ht="15.75" customHeight="1" x14ac:dyDescent="0.15"/>
    <row r="578" ht="15.75" customHeight="1" x14ac:dyDescent="0.15"/>
    <row r="579" ht="15.75" customHeight="1" x14ac:dyDescent="0.15"/>
    <row r="580" ht="15.75" customHeight="1" x14ac:dyDescent="0.15"/>
    <row r="581" ht="15.75" customHeight="1" x14ac:dyDescent="0.15"/>
    <row r="582" ht="15.75" customHeight="1" x14ac:dyDescent="0.15"/>
    <row r="583" ht="15.75" customHeight="1" x14ac:dyDescent="0.15"/>
    <row r="584" ht="15.75" customHeight="1" x14ac:dyDescent="0.15"/>
    <row r="585" ht="15.75" customHeight="1" x14ac:dyDescent="0.15"/>
    <row r="586" ht="15.75" customHeight="1" x14ac:dyDescent="0.15"/>
    <row r="587" ht="15.75" customHeight="1" x14ac:dyDescent="0.15"/>
    <row r="588" ht="15.75" customHeight="1" x14ac:dyDescent="0.15"/>
    <row r="589" ht="15.75" customHeight="1" x14ac:dyDescent="0.15"/>
    <row r="590" ht="15.75" customHeight="1" x14ac:dyDescent="0.15"/>
    <row r="591" ht="15.75" customHeight="1" x14ac:dyDescent="0.15"/>
    <row r="592" ht="15.75" customHeight="1" x14ac:dyDescent="0.15"/>
    <row r="593" ht="15.75" customHeight="1" x14ac:dyDescent="0.15"/>
    <row r="594" ht="15.75" customHeight="1" x14ac:dyDescent="0.15"/>
    <row r="595" ht="15.75" customHeight="1" x14ac:dyDescent="0.15"/>
    <row r="596" ht="15.75" customHeight="1" x14ac:dyDescent="0.15"/>
    <row r="597" ht="15.75" customHeight="1" x14ac:dyDescent="0.15"/>
    <row r="598" ht="15.75" customHeight="1" x14ac:dyDescent="0.15"/>
    <row r="599" ht="15.75" customHeight="1" x14ac:dyDescent="0.15"/>
    <row r="600" ht="15.75" customHeight="1" x14ac:dyDescent="0.15"/>
    <row r="601" ht="15.75" customHeight="1" x14ac:dyDescent="0.15"/>
    <row r="602" ht="15.75" customHeight="1" x14ac:dyDescent="0.15"/>
    <row r="603" ht="15.75" customHeight="1" x14ac:dyDescent="0.15"/>
    <row r="604" ht="15.75" customHeight="1" x14ac:dyDescent="0.15"/>
    <row r="605" ht="15.75" customHeight="1" x14ac:dyDescent="0.15"/>
    <row r="606" ht="15.75" customHeight="1" x14ac:dyDescent="0.15"/>
    <row r="607" ht="15.75" customHeight="1" x14ac:dyDescent="0.15"/>
    <row r="608" ht="15.75" customHeight="1" x14ac:dyDescent="0.15"/>
    <row r="609" ht="15.75" customHeight="1" x14ac:dyDescent="0.15"/>
    <row r="610" ht="15.75" customHeight="1" x14ac:dyDescent="0.15"/>
    <row r="611" ht="15.75" customHeight="1" x14ac:dyDescent="0.15"/>
    <row r="612" ht="15.75" customHeight="1" x14ac:dyDescent="0.15"/>
    <row r="613" ht="15.75" customHeight="1" x14ac:dyDescent="0.15"/>
    <row r="614" ht="15.75" customHeight="1" x14ac:dyDescent="0.15"/>
    <row r="615" ht="15.75" customHeight="1" x14ac:dyDescent="0.15"/>
    <row r="616" ht="15.75" customHeight="1" x14ac:dyDescent="0.15"/>
    <row r="617" ht="15.75" customHeight="1" x14ac:dyDescent="0.15"/>
    <row r="618" ht="15.75" customHeight="1" x14ac:dyDescent="0.15"/>
    <row r="619" ht="15.75" customHeight="1" x14ac:dyDescent="0.15"/>
    <row r="620" ht="15.75" customHeight="1" x14ac:dyDescent="0.15"/>
    <row r="621" ht="15.75" customHeight="1" x14ac:dyDescent="0.15"/>
    <row r="622" ht="15.75" customHeight="1" x14ac:dyDescent="0.15"/>
    <row r="623" ht="15.75" customHeight="1" x14ac:dyDescent="0.15"/>
    <row r="624" ht="15.75" customHeight="1" x14ac:dyDescent="0.15"/>
    <row r="625" ht="15.75" customHeight="1" x14ac:dyDescent="0.15"/>
    <row r="626" ht="15.75" customHeight="1" x14ac:dyDescent="0.15"/>
    <row r="627" ht="15.75" customHeight="1" x14ac:dyDescent="0.15"/>
    <row r="628" ht="15.75" customHeight="1" x14ac:dyDescent="0.15"/>
    <row r="629" ht="15.75" customHeight="1" x14ac:dyDescent="0.15"/>
    <row r="630" ht="15.75" customHeight="1" x14ac:dyDescent="0.15"/>
    <row r="631" ht="15.75" customHeight="1" x14ac:dyDescent="0.15"/>
    <row r="632" ht="15.75" customHeight="1" x14ac:dyDescent="0.15"/>
    <row r="633" ht="15.75" customHeight="1" x14ac:dyDescent="0.15"/>
    <row r="634" ht="15.75" customHeight="1" x14ac:dyDescent="0.15"/>
    <row r="635" ht="15.75" customHeight="1" x14ac:dyDescent="0.15"/>
    <row r="636" ht="15.75" customHeight="1" x14ac:dyDescent="0.15"/>
    <row r="637" ht="15.75" customHeight="1" x14ac:dyDescent="0.15"/>
    <row r="638" ht="15.75" customHeight="1" x14ac:dyDescent="0.15"/>
    <row r="639" ht="15.75" customHeight="1" x14ac:dyDescent="0.15"/>
    <row r="640" ht="15.75" customHeight="1" x14ac:dyDescent="0.15"/>
    <row r="641" ht="15.75" customHeight="1" x14ac:dyDescent="0.15"/>
    <row r="642" ht="15.75" customHeight="1" x14ac:dyDescent="0.15"/>
    <row r="643" ht="15.75" customHeight="1" x14ac:dyDescent="0.15"/>
    <row r="644" ht="15.75" customHeight="1" x14ac:dyDescent="0.15"/>
    <row r="645" ht="15.75" customHeight="1" x14ac:dyDescent="0.15"/>
    <row r="646" ht="15.75" customHeight="1" x14ac:dyDescent="0.15"/>
    <row r="647" ht="15.75" customHeight="1" x14ac:dyDescent="0.15"/>
    <row r="648" ht="15.75" customHeight="1" x14ac:dyDescent="0.15"/>
    <row r="649" ht="15.75" customHeight="1" x14ac:dyDescent="0.15"/>
    <row r="650" ht="15.75" customHeight="1" x14ac:dyDescent="0.15"/>
    <row r="651" ht="15.75" customHeight="1" x14ac:dyDescent="0.15"/>
    <row r="652" ht="15.75" customHeight="1" x14ac:dyDescent="0.15"/>
    <row r="653" ht="15.75" customHeight="1" x14ac:dyDescent="0.15"/>
    <row r="654" ht="15.75" customHeight="1" x14ac:dyDescent="0.15"/>
    <row r="655" ht="15.75" customHeight="1" x14ac:dyDescent="0.15"/>
    <row r="656" ht="15.75" customHeight="1" x14ac:dyDescent="0.15"/>
    <row r="657" ht="15.75" customHeight="1" x14ac:dyDescent="0.15"/>
    <row r="658" ht="15.75" customHeight="1" x14ac:dyDescent="0.15"/>
    <row r="659" ht="15.75" customHeight="1" x14ac:dyDescent="0.15"/>
    <row r="660" ht="15.75" customHeight="1" x14ac:dyDescent="0.15"/>
    <row r="661" ht="15.75" customHeight="1" x14ac:dyDescent="0.15"/>
    <row r="662" ht="15.75" customHeight="1" x14ac:dyDescent="0.15"/>
    <row r="663" ht="15.75" customHeight="1" x14ac:dyDescent="0.15"/>
    <row r="664" ht="15.75" customHeight="1" x14ac:dyDescent="0.15"/>
    <row r="665" ht="15.75" customHeight="1" x14ac:dyDescent="0.15"/>
    <row r="666" ht="15.75" customHeight="1" x14ac:dyDescent="0.15"/>
    <row r="667" ht="15.75" customHeight="1" x14ac:dyDescent="0.15"/>
    <row r="668" ht="15.75" customHeight="1" x14ac:dyDescent="0.15"/>
    <row r="669" ht="15.75" customHeight="1" x14ac:dyDescent="0.15"/>
    <row r="670" ht="15.75" customHeight="1" x14ac:dyDescent="0.15"/>
    <row r="671" ht="15.75" customHeight="1" x14ac:dyDescent="0.15"/>
    <row r="672" ht="15.75" customHeight="1" x14ac:dyDescent="0.15"/>
    <row r="673" ht="15.75" customHeight="1" x14ac:dyDescent="0.15"/>
    <row r="674" ht="15.75" customHeight="1" x14ac:dyDescent="0.15"/>
    <row r="675" ht="15.75" customHeight="1" x14ac:dyDescent="0.15"/>
    <row r="676" ht="15.75" customHeight="1" x14ac:dyDescent="0.15"/>
    <row r="677" ht="15.75" customHeight="1" x14ac:dyDescent="0.15"/>
    <row r="678" ht="15.75" customHeight="1" x14ac:dyDescent="0.15"/>
    <row r="679" ht="15.75" customHeight="1" x14ac:dyDescent="0.15"/>
    <row r="680" ht="15.75" customHeight="1" x14ac:dyDescent="0.15"/>
    <row r="681" ht="15.75" customHeight="1" x14ac:dyDescent="0.15"/>
    <row r="682" ht="15.75" customHeight="1" x14ac:dyDescent="0.15"/>
    <row r="683" ht="15.75" customHeight="1" x14ac:dyDescent="0.15"/>
    <row r="684" ht="15.75" customHeight="1" x14ac:dyDescent="0.15"/>
    <row r="685" ht="15.75" customHeight="1" x14ac:dyDescent="0.15"/>
    <row r="686" ht="15.75" customHeight="1" x14ac:dyDescent="0.15"/>
    <row r="687" ht="15.75" customHeight="1" x14ac:dyDescent="0.15"/>
    <row r="688" ht="15.75" customHeight="1" x14ac:dyDescent="0.15"/>
    <row r="689" ht="15.75" customHeight="1" x14ac:dyDescent="0.15"/>
    <row r="690" ht="15.75" customHeight="1" x14ac:dyDescent="0.15"/>
    <row r="691" ht="15.75" customHeight="1" x14ac:dyDescent="0.15"/>
    <row r="692" ht="15.75" customHeight="1" x14ac:dyDescent="0.15"/>
    <row r="693" ht="15.75" customHeight="1" x14ac:dyDescent="0.15"/>
    <row r="694" ht="15.75" customHeight="1" x14ac:dyDescent="0.15"/>
    <row r="695" ht="15.75" customHeight="1" x14ac:dyDescent="0.15"/>
    <row r="696" ht="15.75" customHeight="1" x14ac:dyDescent="0.15"/>
    <row r="697" ht="15.75" customHeight="1" x14ac:dyDescent="0.15"/>
    <row r="698" ht="15.75" customHeight="1" x14ac:dyDescent="0.15"/>
    <row r="699" ht="15.75" customHeight="1" x14ac:dyDescent="0.15"/>
    <row r="700" ht="15.75" customHeight="1" x14ac:dyDescent="0.15"/>
    <row r="701" ht="15.75" customHeight="1" x14ac:dyDescent="0.15"/>
    <row r="702" ht="15.75" customHeight="1" x14ac:dyDescent="0.15"/>
    <row r="703" ht="15.75" customHeight="1" x14ac:dyDescent="0.15"/>
    <row r="704" ht="15.75" customHeight="1" x14ac:dyDescent="0.15"/>
    <row r="705" ht="15.75" customHeight="1" x14ac:dyDescent="0.15"/>
    <row r="706" ht="15.75" customHeight="1" x14ac:dyDescent="0.15"/>
    <row r="707" ht="15.75" customHeight="1" x14ac:dyDescent="0.15"/>
    <row r="708" ht="15.75" customHeight="1" x14ac:dyDescent="0.15"/>
    <row r="709" ht="15.75" customHeight="1" x14ac:dyDescent="0.15"/>
    <row r="710" ht="15.75" customHeight="1" x14ac:dyDescent="0.15"/>
    <row r="711" ht="15.75" customHeight="1" x14ac:dyDescent="0.15"/>
    <row r="712" ht="15.75" customHeight="1" x14ac:dyDescent="0.15"/>
    <row r="713" ht="15.75" customHeight="1" x14ac:dyDescent="0.15"/>
    <row r="714" ht="15.75" customHeight="1" x14ac:dyDescent="0.15"/>
    <row r="715" ht="15.75" customHeight="1" x14ac:dyDescent="0.15"/>
    <row r="716" ht="15.75" customHeight="1" x14ac:dyDescent="0.15"/>
    <row r="717" ht="15.75" customHeight="1" x14ac:dyDescent="0.15"/>
    <row r="718" ht="15.75" customHeight="1" x14ac:dyDescent="0.15"/>
    <row r="719" ht="15.75" customHeight="1" x14ac:dyDescent="0.15"/>
    <row r="720" ht="15.75" customHeight="1" x14ac:dyDescent="0.15"/>
    <row r="721" ht="15.75" customHeight="1" x14ac:dyDescent="0.15"/>
    <row r="722" ht="15.75" customHeight="1" x14ac:dyDescent="0.15"/>
    <row r="723" ht="15.75" customHeight="1" x14ac:dyDescent="0.15"/>
    <row r="724" ht="15.75" customHeight="1" x14ac:dyDescent="0.15"/>
    <row r="725" ht="15.75" customHeight="1" x14ac:dyDescent="0.15"/>
    <row r="726" ht="15.75" customHeight="1" x14ac:dyDescent="0.15"/>
    <row r="727" ht="15.75" customHeight="1" x14ac:dyDescent="0.15"/>
    <row r="728" ht="15.75" customHeight="1" x14ac:dyDescent="0.15"/>
    <row r="729" ht="15.75" customHeight="1" x14ac:dyDescent="0.15"/>
    <row r="730" ht="15.75" customHeight="1" x14ac:dyDescent="0.15"/>
    <row r="731" ht="15.75" customHeight="1" x14ac:dyDescent="0.15"/>
    <row r="732" ht="15.75" customHeight="1" x14ac:dyDescent="0.15"/>
    <row r="733" ht="15.75" customHeight="1" x14ac:dyDescent="0.15"/>
    <row r="734" ht="15.75" customHeight="1" x14ac:dyDescent="0.15"/>
    <row r="735" ht="15.75" customHeight="1" x14ac:dyDescent="0.15"/>
    <row r="736" ht="15.75" customHeight="1" x14ac:dyDescent="0.15"/>
    <row r="737" ht="15.75" customHeight="1" x14ac:dyDescent="0.15"/>
    <row r="738" ht="15.75" customHeight="1" x14ac:dyDescent="0.15"/>
    <row r="739" ht="15.75" customHeight="1" x14ac:dyDescent="0.15"/>
    <row r="740" ht="15.75" customHeight="1" x14ac:dyDescent="0.15"/>
    <row r="741" ht="15.75" customHeight="1" x14ac:dyDescent="0.15"/>
    <row r="742" ht="15.75" customHeight="1" x14ac:dyDescent="0.15"/>
    <row r="743" ht="15.75" customHeight="1" x14ac:dyDescent="0.15"/>
    <row r="744" ht="15.75" customHeight="1" x14ac:dyDescent="0.15"/>
    <row r="745" ht="15.75" customHeight="1" x14ac:dyDescent="0.15"/>
    <row r="746" ht="15.75" customHeight="1" x14ac:dyDescent="0.15"/>
    <row r="747" ht="15.75" customHeight="1" x14ac:dyDescent="0.15"/>
    <row r="748" ht="15.75" customHeight="1" x14ac:dyDescent="0.15"/>
    <row r="749" ht="15.75" customHeight="1" x14ac:dyDescent="0.15"/>
    <row r="750" ht="15.75" customHeight="1" x14ac:dyDescent="0.15"/>
    <row r="751" ht="15.75" customHeight="1" x14ac:dyDescent="0.15"/>
    <row r="752" ht="15.75" customHeight="1" x14ac:dyDescent="0.15"/>
    <row r="753" ht="15.75" customHeight="1" x14ac:dyDescent="0.15"/>
    <row r="754" ht="15.75" customHeight="1" x14ac:dyDescent="0.15"/>
    <row r="755" ht="15.75" customHeight="1" x14ac:dyDescent="0.15"/>
    <row r="756" ht="15.75" customHeight="1" x14ac:dyDescent="0.15"/>
    <row r="757" ht="15.75" customHeight="1" x14ac:dyDescent="0.15"/>
    <row r="758" ht="15.75" customHeight="1" x14ac:dyDescent="0.15"/>
    <row r="759" ht="15.75" customHeight="1" x14ac:dyDescent="0.15"/>
    <row r="760" ht="15.75" customHeight="1" x14ac:dyDescent="0.15"/>
    <row r="761" ht="15.75" customHeight="1" x14ac:dyDescent="0.15"/>
    <row r="762" ht="15.75" customHeight="1" x14ac:dyDescent="0.15"/>
    <row r="763" ht="15.75" customHeight="1" x14ac:dyDescent="0.15"/>
    <row r="764" ht="15.75" customHeight="1" x14ac:dyDescent="0.15"/>
    <row r="765" ht="15.75" customHeight="1" x14ac:dyDescent="0.15"/>
    <row r="766" ht="15.75" customHeight="1" x14ac:dyDescent="0.15"/>
    <row r="767" ht="15.75" customHeight="1" x14ac:dyDescent="0.15"/>
    <row r="768" ht="15.75" customHeight="1" x14ac:dyDescent="0.15"/>
    <row r="769" ht="15.75" customHeight="1" x14ac:dyDescent="0.15"/>
    <row r="770" ht="15.75" customHeight="1" x14ac:dyDescent="0.15"/>
    <row r="771" ht="15.75" customHeight="1" x14ac:dyDescent="0.15"/>
    <row r="772" ht="15.75" customHeight="1" x14ac:dyDescent="0.15"/>
    <row r="773" ht="15.75" customHeight="1" x14ac:dyDescent="0.15"/>
    <row r="774" ht="15.75" customHeight="1" x14ac:dyDescent="0.15"/>
    <row r="775" ht="15.75" customHeight="1" x14ac:dyDescent="0.15"/>
    <row r="776" ht="15.75" customHeight="1" x14ac:dyDescent="0.15"/>
    <row r="777" ht="15.75" customHeight="1" x14ac:dyDescent="0.15"/>
    <row r="778" ht="15.75" customHeight="1" x14ac:dyDescent="0.15"/>
    <row r="779" ht="15.75" customHeight="1" x14ac:dyDescent="0.15"/>
    <row r="780" ht="15.75" customHeight="1" x14ac:dyDescent="0.15"/>
    <row r="781" ht="15.75" customHeight="1" x14ac:dyDescent="0.15"/>
    <row r="782" ht="15.75" customHeight="1" x14ac:dyDescent="0.15"/>
    <row r="783" ht="15.75" customHeight="1" x14ac:dyDescent="0.15"/>
    <row r="784" ht="15.75" customHeight="1" x14ac:dyDescent="0.15"/>
    <row r="785" ht="15.75" customHeight="1" x14ac:dyDescent="0.15"/>
    <row r="786" ht="15.75" customHeight="1" x14ac:dyDescent="0.15"/>
    <row r="787" ht="15.75" customHeight="1" x14ac:dyDescent="0.15"/>
    <row r="788" ht="15.75" customHeight="1" x14ac:dyDescent="0.15"/>
    <row r="789" ht="15.75" customHeight="1" x14ac:dyDescent="0.15"/>
    <row r="790" ht="15.75" customHeight="1" x14ac:dyDescent="0.15"/>
    <row r="791" ht="15.75" customHeight="1" x14ac:dyDescent="0.15"/>
    <row r="792" ht="15.75" customHeight="1" x14ac:dyDescent="0.15"/>
    <row r="793" ht="15.75" customHeight="1" x14ac:dyDescent="0.15"/>
    <row r="794" ht="15.75" customHeight="1" x14ac:dyDescent="0.15"/>
    <row r="795" ht="15.75" customHeight="1" x14ac:dyDescent="0.15"/>
    <row r="796" ht="15.75" customHeight="1" x14ac:dyDescent="0.15"/>
    <row r="797" ht="15.75" customHeight="1" x14ac:dyDescent="0.15"/>
    <row r="798" ht="15.75" customHeight="1" x14ac:dyDescent="0.15"/>
    <row r="799" ht="15.75" customHeight="1" x14ac:dyDescent="0.15"/>
    <row r="800" ht="15.75" customHeight="1" x14ac:dyDescent="0.15"/>
    <row r="801" ht="15.75" customHeight="1" x14ac:dyDescent="0.15"/>
    <row r="802" ht="15.75" customHeight="1" x14ac:dyDescent="0.15"/>
    <row r="803" ht="15.75" customHeight="1" x14ac:dyDescent="0.15"/>
    <row r="804" ht="15.75" customHeight="1" x14ac:dyDescent="0.15"/>
    <row r="805" ht="15.75" customHeight="1" x14ac:dyDescent="0.15"/>
    <row r="806" ht="15.75" customHeight="1" x14ac:dyDescent="0.15"/>
    <row r="807" ht="15.75" customHeight="1" x14ac:dyDescent="0.15"/>
    <row r="808" ht="15.75" customHeight="1" x14ac:dyDescent="0.15"/>
    <row r="809" ht="15.75" customHeight="1" x14ac:dyDescent="0.15"/>
    <row r="810" ht="15.75" customHeight="1" x14ac:dyDescent="0.15"/>
    <row r="811" ht="15.75" customHeight="1" x14ac:dyDescent="0.15"/>
    <row r="812" ht="15.75" customHeight="1" x14ac:dyDescent="0.15"/>
    <row r="813" ht="15.75" customHeight="1" x14ac:dyDescent="0.15"/>
    <row r="814" ht="15.75" customHeight="1" x14ac:dyDescent="0.15"/>
    <row r="815" ht="15.75" customHeight="1" x14ac:dyDescent="0.15"/>
    <row r="816" ht="15.75" customHeight="1" x14ac:dyDescent="0.15"/>
    <row r="817" ht="15.75" customHeight="1" x14ac:dyDescent="0.15"/>
    <row r="818" ht="15.75" customHeight="1" x14ac:dyDescent="0.15"/>
    <row r="819" ht="15.75" customHeight="1" x14ac:dyDescent="0.15"/>
    <row r="820" ht="15.75" customHeight="1" x14ac:dyDescent="0.15"/>
    <row r="821" ht="15.75" customHeight="1" x14ac:dyDescent="0.15"/>
    <row r="822" ht="15.75" customHeight="1" x14ac:dyDescent="0.15"/>
    <row r="823" ht="15.75" customHeight="1" x14ac:dyDescent="0.15"/>
    <row r="824" ht="15.75" customHeight="1" x14ac:dyDescent="0.15"/>
    <row r="825" ht="15.75" customHeight="1" x14ac:dyDescent="0.15"/>
    <row r="826" ht="15.75" customHeight="1" x14ac:dyDescent="0.15"/>
    <row r="827" ht="15.75" customHeight="1" x14ac:dyDescent="0.15"/>
    <row r="828" ht="15.75" customHeight="1" x14ac:dyDescent="0.15"/>
    <row r="829" ht="15.75" customHeight="1" x14ac:dyDescent="0.15"/>
    <row r="830" ht="15.75" customHeight="1" x14ac:dyDescent="0.15"/>
    <row r="831" ht="15.75" customHeight="1" x14ac:dyDescent="0.15"/>
    <row r="832" ht="15.75" customHeight="1" x14ac:dyDescent="0.15"/>
    <row r="833" ht="15.75" customHeight="1" x14ac:dyDescent="0.15"/>
    <row r="834" ht="15.75" customHeight="1" x14ac:dyDescent="0.15"/>
    <row r="835" ht="15.75" customHeight="1" x14ac:dyDescent="0.15"/>
    <row r="836" ht="15.75" customHeight="1" x14ac:dyDescent="0.15"/>
    <row r="837" ht="15.75" customHeight="1" x14ac:dyDescent="0.15"/>
    <row r="838" ht="15.75" customHeight="1" x14ac:dyDescent="0.15"/>
    <row r="839" ht="15.75" customHeight="1" x14ac:dyDescent="0.15"/>
    <row r="840" ht="15.75" customHeight="1" x14ac:dyDescent="0.15"/>
    <row r="841" ht="15.75" customHeight="1" x14ac:dyDescent="0.15"/>
    <row r="842" ht="15.75" customHeight="1" x14ac:dyDescent="0.15"/>
    <row r="843" ht="15.75" customHeight="1" x14ac:dyDescent="0.15"/>
    <row r="844" ht="15.75" customHeight="1" x14ac:dyDescent="0.15"/>
    <row r="845" ht="15.75" customHeight="1" x14ac:dyDescent="0.15"/>
    <row r="846" ht="15.75" customHeight="1" x14ac:dyDescent="0.15"/>
    <row r="847" ht="15.75" customHeight="1" x14ac:dyDescent="0.15"/>
    <row r="848" ht="15.75" customHeight="1" x14ac:dyDescent="0.15"/>
    <row r="849" ht="15.75" customHeight="1" x14ac:dyDescent="0.15"/>
    <row r="850" ht="15.75" customHeight="1" x14ac:dyDescent="0.15"/>
    <row r="851" ht="15.75" customHeight="1" x14ac:dyDescent="0.15"/>
    <row r="852" ht="15.75" customHeight="1" x14ac:dyDescent="0.15"/>
    <row r="853" ht="15.75" customHeight="1" x14ac:dyDescent="0.15"/>
    <row r="854" ht="15.75" customHeight="1" x14ac:dyDescent="0.15"/>
    <row r="855" ht="15.75" customHeight="1" x14ac:dyDescent="0.15"/>
    <row r="856" ht="15.75" customHeight="1" x14ac:dyDescent="0.15"/>
    <row r="857" ht="15.75" customHeight="1" x14ac:dyDescent="0.15"/>
    <row r="858" ht="15.75" customHeight="1" x14ac:dyDescent="0.15"/>
    <row r="859" ht="15.75" customHeight="1" x14ac:dyDescent="0.15"/>
    <row r="860" ht="15.75" customHeight="1" x14ac:dyDescent="0.15"/>
    <row r="861" ht="15.75" customHeight="1" x14ac:dyDescent="0.15"/>
    <row r="862" ht="15.75" customHeight="1" x14ac:dyDescent="0.15"/>
    <row r="863" ht="15.75" customHeight="1" x14ac:dyDescent="0.15"/>
    <row r="864" ht="15.75" customHeight="1" x14ac:dyDescent="0.15"/>
    <row r="865" ht="15.75" customHeight="1" x14ac:dyDescent="0.15"/>
    <row r="866" ht="15.75" customHeight="1" x14ac:dyDescent="0.15"/>
    <row r="867" ht="15.75" customHeight="1" x14ac:dyDescent="0.15"/>
    <row r="868" ht="15.75" customHeight="1" x14ac:dyDescent="0.15"/>
    <row r="869" ht="15.75" customHeight="1" x14ac:dyDescent="0.15"/>
    <row r="870" ht="15.75" customHeight="1" x14ac:dyDescent="0.15"/>
    <row r="871" ht="15.75" customHeight="1" x14ac:dyDescent="0.15"/>
    <row r="872" ht="15.75" customHeight="1" x14ac:dyDescent="0.15"/>
    <row r="873" ht="15.75" customHeight="1" x14ac:dyDescent="0.15"/>
    <row r="874" ht="15.75" customHeight="1" x14ac:dyDescent="0.15"/>
    <row r="875" ht="15.75" customHeight="1" x14ac:dyDescent="0.15"/>
    <row r="876" ht="15.75" customHeight="1" x14ac:dyDescent="0.15"/>
    <row r="877" ht="15.75" customHeight="1" x14ac:dyDescent="0.15"/>
    <row r="878" ht="15.75" customHeight="1" x14ac:dyDescent="0.15"/>
    <row r="879" ht="15.75" customHeight="1" x14ac:dyDescent="0.15"/>
    <row r="880" ht="15.75" customHeight="1" x14ac:dyDescent="0.15"/>
    <row r="881" ht="15.75" customHeight="1" x14ac:dyDescent="0.15"/>
    <row r="882" ht="15.75" customHeight="1" x14ac:dyDescent="0.15"/>
    <row r="883" ht="15.75" customHeight="1" x14ac:dyDescent="0.15"/>
    <row r="884" ht="15.75" customHeight="1" x14ac:dyDescent="0.15"/>
    <row r="885" ht="15.75" customHeight="1" x14ac:dyDescent="0.15"/>
    <row r="886" ht="15.75" customHeight="1" x14ac:dyDescent="0.15"/>
    <row r="887" ht="15.75" customHeight="1" x14ac:dyDescent="0.15"/>
    <row r="888" ht="15.75" customHeight="1" x14ac:dyDescent="0.15"/>
    <row r="889" ht="15.75" customHeight="1" x14ac:dyDescent="0.15"/>
    <row r="890" ht="15.75" customHeight="1" x14ac:dyDescent="0.15"/>
    <row r="891" ht="15.75" customHeight="1" x14ac:dyDescent="0.15"/>
    <row r="892" ht="15.75" customHeight="1" x14ac:dyDescent="0.15"/>
    <row r="893" ht="15.75" customHeight="1" x14ac:dyDescent="0.15"/>
    <row r="894" ht="15.75" customHeight="1" x14ac:dyDescent="0.15"/>
    <row r="895" ht="15.75" customHeight="1" x14ac:dyDescent="0.15"/>
    <row r="896" ht="15.75" customHeight="1" x14ac:dyDescent="0.15"/>
    <row r="897" ht="15.75" customHeight="1" x14ac:dyDescent="0.15"/>
    <row r="898" ht="15.75" customHeight="1" x14ac:dyDescent="0.15"/>
    <row r="899" ht="15.75" customHeight="1" x14ac:dyDescent="0.15"/>
    <row r="900" ht="15.75" customHeight="1" x14ac:dyDescent="0.15"/>
    <row r="901" ht="15.75" customHeight="1" x14ac:dyDescent="0.15"/>
    <row r="902" ht="15.75" customHeight="1" x14ac:dyDescent="0.15"/>
    <row r="903" ht="15.75" customHeight="1" x14ac:dyDescent="0.15"/>
    <row r="904" ht="15.75" customHeight="1" x14ac:dyDescent="0.15"/>
    <row r="905" ht="15.75" customHeight="1" x14ac:dyDescent="0.15"/>
    <row r="906" ht="15.75" customHeight="1" x14ac:dyDescent="0.15"/>
    <row r="907" ht="15.75" customHeight="1" x14ac:dyDescent="0.15"/>
    <row r="908" ht="15.75" customHeight="1" x14ac:dyDescent="0.15"/>
    <row r="909" ht="15.75" customHeight="1" x14ac:dyDescent="0.15"/>
    <row r="910" ht="15.75" customHeight="1" x14ac:dyDescent="0.15"/>
    <row r="911" ht="15.75" customHeight="1" x14ac:dyDescent="0.15"/>
    <row r="912" ht="15.75" customHeight="1" x14ac:dyDescent="0.15"/>
    <row r="913" ht="15.75" customHeight="1" x14ac:dyDescent="0.15"/>
    <row r="914" ht="15.75" customHeight="1" x14ac:dyDescent="0.15"/>
    <row r="915" ht="15.75" customHeight="1" x14ac:dyDescent="0.15"/>
    <row r="916" ht="15.75" customHeight="1" x14ac:dyDescent="0.15"/>
    <row r="917" ht="15.75" customHeight="1" x14ac:dyDescent="0.15"/>
    <row r="918" ht="15.75" customHeight="1" x14ac:dyDescent="0.15"/>
    <row r="919" ht="15.75" customHeight="1" x14ac:dyDescent="0.15"/>
    <row r="920" ht="15.75" customHeight="1" x14ac:dyDescent="0.15"/>
    <row r="921" ht="15.75" customHeight="1" x14ac:dyDescent="0.15"/>
    <row r="922" ht="15.75" customHeight="1" x14ac:dyDescent="0.15"/>
    <row r="923" ht="15.75" customHeight="1" x14ac:dyDescent="0.15"/>
    <row r="924" ht="15.75" customHeight="1" x14ac:dyDescent="0.15"/>
    <row r="925" ht="15.75" customHeight="1" x14ac:dyDescent="0.15"/>
    <row r="926" ht="15.75" customHeight="1" x14ac:dyDescent="0.15"/>
    <row r="927" ht="15.75" customHeight="1" x14ac:dyDescent="0.15"/>
    <row r="928" ht="15.75" customHeight="1" x14ac:dyDescent="0.15"/>
    <row r="929" ht="15.75" customHeight="1" x14ac:dyDescent="0.15"/>
    <row r="930" ht="15.75" customHeight="1" x14ac:dyDescent="0.15"/>
    <row r="931" ht="15.75" customHeight="1" x14ac:dyDescent="0.15"/>
    <row r="932" ht="15.75" customHeight="1" x14ac:dyDescent="0.15"/>
    <row r="933" ht="15.75" customHeight="1" x14ac:dyDescent="0.15"/>
    <row r="934" ht="15.75" customHeight="1" x14ac:dyDescent="0.15"/>
    <row r="935" ht="15.75" customHeight="1" x14ac:dyDescent="0.15"/>
    <row r="936" ht="15.75" customHeight="1" x14ac:dyDescent="0.15"/>
    <row r="937" ht="15.75" customHeight="1" x14ac:dyDescent="0.15"/>
    <row r="938" ht="15.75" customHeight="1" x14ac:dyDescent="0.15"/>
    <row r="939" ht="15.75" customHeight="1" x14ac:dyDescent="0.15"/>
    <row r="940" ht="15.75" customHeight="1" x14ac:dyDescent="0.15"/>
    <row r="941" ht="15.75" customHeight="1" x14ac:dyDescent="0.15"/>
    <row r="942" ht="15.75" customHeight="1" x14ac:dyDescent="0.15"/>
    <row r="943" ht="15.75" customHeight="1" x14ac:dyDescent="0.15"/>
    <row r="944" ht="15.75" customHeight="1" x14ac:dyDescent="0.15"/>
    <row r="945" ht="15.75" customHeight="1" x14ac:dyDescent="0.15"/>
    <row r="946" ht="15.75" customHeight="1" x14ac:dyDescent="0.15"/>
    <row r="947" ht="15.75" customHeight="1" x14ac:dyDescent="0.15"/>
    <row r="948" ht="15.75" customHeight="1" x14ac:dyDescent="0.15"/>
    <row r="949" ht="15.75" customHeight="1" x14ac:dyDescent="0.15"/>
    <row r="950" ht="15.75" customHeight="1" x14ac:dyDescent="0.15"/>
    <row r="951" ht="15.75" customHeight="1" x14ac:dyDescent="0.15"/>
    <row r="952" ht="15.75" customHeight="1" x14ac:dyDescent="0.15"/>
    <row r="953" ht="15.75" customHeight="1" x14ac:dyDescent="0.15"/>
    <row r="954" ht="15.75" customHeight="1" x14ac:dyDescent="0.15"/>
    <row r="955" ht="15.75" customHeight="1" x14ac:dyDescent="0.15"/>
    <row r="956" ht="15.75" customHeight="1" x14ac:dyDescent="0.15"/>
    <row r="957" ht="15.75" customHeight="1" x14ac:dyDescent="0.15"/>
    <row r="958" ht="15.75" customHeight="1" x14ac:dyDescent="0.15"/>
    <row r="959" ht="15.75" customHeight="1" x14ac:dyDescent="0.15"/>
    <row r="960" ht="15.75" customHeight="1" x14ac:dyDescent="0.15"/>
    <row r="961" ht="15.75" customHeight="1" x14ac:dyDescent="0.15"/>
    <row r="962" ht="15.75" customHeight="1" x14ac:dyDescent="0.15"/>
    <row r="963" ht="15.75" customHeight="1" x14ac:dyDescent="0.15"/>
    <row r="964" ht="15.75" customHeight="1" x14ac:dyDescent="0.15"/>
    <row r="965" ht="15.75" customHeight="1" x14ac:dyDescent="0.15"/>
    <row r="966" ht="15.75" customHeight="1" x14ac:dyDescent="0.15"/>
    <row r="967" ht="15.75" customHeight="1" x14ac:dyDescent="0.15"/>
    <row r="968" ht="15.75" customHeight="1" x14ac:dyDescent="0.15"/>
    <row r="969" ht="15.75" customHeight="1" x14ac:dyDescent="0.15"/>
    <row r="970" ht="15.75" customHeight="1" x14ac:dyDescent="0.15"/>
    <row r="971" ht="15.75" customHeight="1" x14ac:dyDescent="0.15"/>
    <row r="972" ht="15.75" customHeight="1" x14ac:dyDescent="0.15"/>
    <row r="973" ht="15.75" customHeight="1" x14ac:dyDescent="0.15"/>
    <row r="974" ht="15.75" customHeight="1" x14ac:dyDescent="0.15"/>
    <row r="975" ht="15.75" customHeight="1" x14ac:dyDescent="0.15"/>
    <row r="976" ht="15.75" customHeight="1" x14ac:dyDescent="0.15"/>
    <row r="977" ht="15.75" customHeight="1" x14ac:dyDescent="0.15"/>
    <row r="978" ht="15.75" customHeight="1" x14ac:dyDescent="0.15"/>
    <row r="979" ht="15.75" customHeight="1" x14ac:dyDescent="0.15"/>
    <row r="980" ht="15.75" customHeight="1" x14ac:dyDescent="0.15"/>
    <row r="981" ht="15.75" customHeight="1" x14ac:dyDescent="0.15"/>
    <row r="982" ht="15.75" customHeight="1" x14ac:dyDescent="0.15"/>
    <row r="983" ht="15.75" customHeight="1" x14ac:dyDescent="0.15"/>
    <row r="984" ht="15.75" customHeight="1" x14ac:dyDescent="0.15"/>
    <row r="985" ht="15.75" customHeight="1" x14ac:dyDescent="0.15"/>
    <row r="986" ht="15.75" customHeight="1" x14ac:dyDescent="0.15"/>
    <row r="987" ht="15.75" customHeight="1" x14ac:dyDescent="0.15"/>
    <row r="988" ht="15.75" customHeight="1" x14ac:dyDescent="0.15"/>
    <row r="989" ht="15.75" customHeight="1" x14ac:dyDescent="0.15"/>
    <row r="990" ht="15.75" customHeight="1" x14ac:dyDescent="0.15"/>
    <row r="991" ht="15.75" customHeight="1" x14ac:dyDescent="0.15"/>
    <row r="992" ht="15.75" customHeight="1" x14ac:dyDescent="0.15"/>
    <row r="993" ht="15.75" customHeight="1" x14ac:dyDescent="0.15"/>
    <row r="994" ht="15.75" customHeight="1" x14ac:dyDescent="0.15"/>
    <row r="995" ht="15.75" customHeight="1" x14ac:dyDescent="0.15"/>
    <row r="996" ht="15.75" customHeight="1" x14ac:dyDescent="0.15"/>
    <row r="997" ht="15.75" customHeight="1" x14ac:dyDescent="0.15"/>
    <row r="998" ht="15.75" customHeight="1" x14ac:dyDescent="0.15"/>
    <row r="999" ht="15.75" customHeight="1" x14ac:dyDescent="0.15"/>
    <row r="1000" ht="15.75" customHeight="1" x14ac:dyDescent="0.15"/>
  </sheetData>
  <pageMargins left="0.7" right="0.7" top="0.75" bottom="0.75" header="0" footer="0"/>
  <pageSetup orientation="landscape"/>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6</vt:i4>
      </vt:variant>
      <vt:variant>
        <vt:lpstr>Named Ranges</vt:lpstr>
      </vt:variant>
      <vt:variant>
        <vt:i4>26</vt:i4>
      </vt:variant>
    </vt:vector>
  </HeadingPairs>
  <TitlesOfParts>
    <vt:vector size="32" baseType="lpstr">
      <vt:lpstr>ReadMe</vt:lpstr>
      <vt:lpstr>Inputs</vt:lpstr>
      <vt:lpstr>BinomialModel</vt:lpstr>
      <vt:lpstr>Black&amp;Scholes</vt:lpstr>
      <vt:lpstr>Market Data</vt:lpstr>
      <vt:lpstr>Aux</vt:lpstr>
      <vt:lpstr>Inputs!bs_option_type</vt:lpstr>
      <vt:lpstr>bs_option_type</vt:lpstr>
      <vt:lpstr>d_1</vt:lpstr>
      <vt:lpstr>d_2</vt:lpstr>
      <vt:lpstr>dividend_rate</vt:lpstr>
      <vt:lpstr>down_factor</vt:lpstr>
      <vt:lpstr>Inputs!Exercise</vt:lpstr>
      <vt:lpstr>Exercise</vt:lpstr>
      <vt:lpstr>Inputs!expected_return</vt:lpstr>
      <vt:lpstr>expected_return</vt:lpstr>
      <vt:lpstr>hedge_ratio</vt:lpstr>
      <vt:lpstr>n_periods</vt:lpstr>
      <vt:lpstr>Nd_1</vt:lpstr>
      <vt:lpstr>Nd_2</vt:lpstr>
      <vt:lpstr>Nminusd_1</vt:lpstr>
      <vt:lpstr>Nminusd_2</vt:lpstr>
      <vt:lpstr>Inputs!Rate</vt:lpstr>
      <vt:lpstr>Rate</vt:lpstr>
      <vt:lpstr>Inputs!Sigma</vt:lpstr>
      <vt:lpstr>Sigma</vt:lpstr>
      <vt:lpstr>Inputs!Stock</vt:lpstr>
      <vt:lpstr>Stock</vt:lpstr>
      <vt:lpstr>Inputs!Time</vt:lpstr>
      <vt:lpstr>Time</vt:lpstr>
      <vt:lpstr>up_factor</vt:lpstr>
      <vt:lpstr>vba_bs_result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ILYAS MASMOUDI</dc:creator>
  <cp:lastModifiedBy>Jardiel Júnior</cp:lastModifiedBy>
  <dcterms:created xsi:type="dcterms:W3CDTF">2021-10-14T12:19:46Z</dcterms:created>
  <dcterms:modified xsi:type="dcterms:W3CDTF">2021-10-23T15:15:43Z</dcterms:modified>
</cp:coreProperties>
</file>